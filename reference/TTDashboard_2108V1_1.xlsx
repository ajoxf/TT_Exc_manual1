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F7F58E6-74E7-489D-81AB-0AEF40C1BAA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Dashboard" sheetId="1" r:id="rId1"/>
  </sheets>
  <definedNames>
    <definedName name="_xlnm.Print_Area" localSheetId="0">Dashboard!$A$2:$A$18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5" i="1" l="1"/>
  <c r="K15" i="1"/>
  <c r="L3" i="1"/>
  <c r="C10" i="1"/>
  <c r="C12" i="1"/>
  <c r="C9" i="1" l="1"/>
  <c r="C8" i="1"/>
  <c r="C7" i="1"/>
  <c r="C6" i="1"/>
  <c r="L14" i="1" l="1"/>
  <c r="K8" i="1"/>
  <c r="K14" i="1"/>
  <c r="L8" i="1"/>
  <c r="T8" i="1"/>
  <c r="S8" i="1"/>
  <c r="T7" i="1"/>
  <c r="S7" i="1"/>
  <c r="L13" i="1"/>
  <c r="K13" i="1"/>
  <c r="K7" i="1"/>
  <c r="L7" i="1"/>
  <c r="L12" i="1"/>
  <c r="K12" i="1"/>
  <c r="I7" i="1"/>
  <c r="H7" i="1"/>
  <c r="I12" i="1"/>
  <c r="I14" i="1"/>
  <c r="H14" i="1"/>
  <c r="I13" i="1"/>
  <c r="H13" i="1"/>
  <c r="H12" i="1"/>
  <c r="P7" i="1"/>
  <c r="Q7" i="1"/>
  <c r="I8" i="1"/>
  <c r="P8" i="1"/>
  <c r="H8" i="1"/>
  <c r="Q8" i="1"/>
  <c r="I15" i="1" l="1"/>
  <c r="H15" i="1"/>
  <c r="T9" i="1"/>
  <c r="S9" i="1"/>
  <c r="K9" i="1"/>
  <c r="L9" i="1"/>
  <c r="J13" i="1"/>
  <c r="J12" i="1"/>
  <c r="J14" i="1"/>
  <c r="J8" i="1"/>
  <c r="P9" i="1"/>
  <c r="I9" i="1"/>
  <c r="R8" i="1"/>
  <c r="Q9" i="1"/>
  <c r="R7" i="1"/>
  <c r="H9" i="1"/>
  <c r="J7" i="1"/>
  <c r="J9" i="1" l="1"/>
  <c r="R9" i="1"/>
</calcChain>
</file>

<file path=xl/sharedStrings.xml><?xml version="1.0" encoding="utf-8"?>
<sst xmlns="http://schemas.openxmlformats.org/spreadsheetml/2006/main" count="49" uniqueCount="31">
  <si>
    <t>TT SHORT NAME</t>
  </si>
  <si>
    <t>INSTRUMENT ID</t>
  </si>
  <si>
    <t>RBV26</t>
  </si>
  <si>
    <t>RB Oct 26</t>
  </si>
  <si>
    <t>RBV6</t>
  </si>
  <si>
    <t>HOV26</t>
  </si>
  <si>
    <t>HO Oct 26</t>
  </si>
  <si>
    <t>HOV6</t>
  </si>
  <si>
    <t>BZ Oct 26</t>
  </si>
  <si>
    <t>BZV6</t>
  </si>
  <si>
    <t>CLV26</t>
  </si>
  <si>
    <t>CL Oct 26</t>
  </si>
  <si>
    <t>CLV6</t>
  </si>
  <si>
    <t>TT MARKET</t>
  </si>
  <si>
    <t>CME</t>
  </si>
  <si>
    <t>3:2:1</t>
  </si>
  <si>
    <t>BZ - CL</t>
  </si>
  <si>
    <t>CL Oct26 - BZ Oct26 Inter-Product</t>
  </si>
  <si>
    <t>Oct26 HO-CL Crack</t>
  </si>
  <si>
    <t>Symbol</t>
  </si>
  <si>
    <t>Contract</t>
  </si>
  <si>
    <t>Bid</t>
  </si>
  <si>
    <t>Ask</t>
  </si>
  <si>
    <t>Gap</t>
  </si>
  <si>
    <t>High</t>
  </si>
  <si>
    <t>Low</t>
  </si>
  <si>
    <r>
      <t xml:space="preserve">HOV26
</t>
    </r>
    <r>
      <rPr>
        <b/>
        <sz val="12"/>
        <color rgb="FF111318"/>
        <rFont val="Arial"/>
        <family val="2"/>
      </rPr>
      <t>HO Oct 26</t>
    </r>
  </si>
  <si>
    <r>
      <t xml:space="preserve">CLV26
</t>
    </r>
    <r>
      <rPr>
        <b/>
        <sz val="12"/>
        <color rgb="FF111318"/>
        <rFont val="Arial"/>
        <family val="2"/>
      </rPr>
      <t>CL Oct 26</t>
    </r>
  </si>
  <si>
    <r>
      <t xml:space="preserve">HO | CL </t>
    </r>
    <r>
      <rPr>
        <b/>
        <sz val="12"/>
        <color rgb="FF111318"/>
        <rFont val="Arial"/>
        <family val="2"/>
      </rPr>
      <t>Oct 26 Crack</t>
    </r>
  </si>
  <si>
    <r>
      <t xml:space="preserve">BZV26
</t>
    </r>
    <r>
      <rPr>
        <b/>
        <sz val="12"/>
        <color rgb="FF111318"/>
        <rFont val="Arial"/>
        <family val="2"/>
      </rPr>
      <t>BZ Oct 26</t>
    </r>
  </si>
  <si>
    <t>ENERGY FUTURES BID / ASK SPREAD MONITOR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</si>
</sst>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4" x14ac:knownFonts="1">
    <font>
      <sz val="11"/>
      <color theme="1"/>
      <name val="Calibri"/>
      <family val="2"/>
      <charset val="1"/>
    </font>
    <font>
      <b/>
      <sz val="10"/>
      <color rgb="FF6B7280"/>
      <name val="Arial"/>
      <family val="2"/>
    </font>
    <font>
      <b/>
      <sz val="14"/>
      <color rgb="FFB8860B"/>
      <name val="Arial"/>
      <family val="2"/>
    </font>
    <font>
      <b/>
      <sz val="9"/>
      <color rgb="FFFFFFFF"/>
      <name val="Arial"/>
    </font>
    <font>
      <b/>
      <sz val="11"/>
      <color rgb="FF0000FF"/>
      <name val="Arial"/>
    </font>
    <font>
      <sz val="9"/>
      <color rgb="FF0E7C7B"/>
      <name val="Arial"/>
    </font>
    <font>
      <sz val="32"/>
      <color theme="1"/>
      <name val="Calibri"/>
      <family val="2"/>
      <charset val="1"/>
    </font>
    <font>
      <b/>
      <sz val="11"/>
      <color rgb="FF0000FF"/>
      <name val="Arial"/>
      <family val="2"/>
    </font>
    <font>
      <sz val="28"/>
      <color theme="1"/>
      <name val="Calibri"/>
      <family val="2"/>
      <charset val="1"/>
    </font>
    <font>
      <sz val="22"/>
      <color theme="1"/>
      <name val="Calibri"/>
      <family val="2"/>
      <charset val="1"/>
    </font>
    <font>
      <b/>
      <sz val="20"/>
      <color rgb="FF111318"/>
      <name val="Arial"/>
      <family val="2"/>
    </font>
    <font>
      <sz val="20"/>
      <color theme="1"/>
      <name val="Calibri"/>
      <family val="2"/>
      <charset val="1"/>
    </font>
    <font>
      <b/>
      <sz val="20"/>
      <color rgb="FF127A34"/>
      <name val="Arial"/>
      <family val="2"/>
    </font>
    <font>
      <b/>
      <sz val="22"/>
      <color theme="1"/>
      <name val="Calibri"/>
      <family val="2"/>
    </font>
    <font>
      <b/>
      <sz val="18"/>
      <color rgb="FF111318"/>
      <name val="Arial"/>
      <family val="2"/>
    </font>
    <font>
      <sz val="18"/>
      <color rgb="FF6B7280"/>
      <name val="Arial"/>
      <family val="2"/>
    </font>
    <font>
      <sz val="18"/>
      <color theme="1"/>
      <name val="Calibri"/>
      <family val="2"/>
      <charset val="1"/>
    </font>
    <font>
      <b/>
      <sz val="18"/>
      <color rgb="FFFFFFFF"/>
      <name val="Arial"/>
      <family val="2"/>
    </font>
    <font>
      <b/>
      <sz val="26"/>
      <color rgb="FF111318"/>
      <name val="Arial"/>
      <family val="2"/>
    </font>
    <font>
      <b/>
      <sz val="26"/>
      <color rgb="FF127A34"/>
      <name val="Arial"/>
      <family val="2"/>
    </font>
    <font>
      <b/>
      <sz val="26"/>
      <color theme="1"/>
      <name val="Calibri"/>
      <family val="2"/>
    </font>
    <font>
      <b/>
      <sz val="26"/>
      <color rgb="FF1257A6"/>
      <name val="Arial"/>
      <family val="2"/>
    </font>
    <font>
      <sz val="26"/>
      <color theme="1"/>
      <name val="Calibri"/>
      <family val="2"/>
      <charset val="1"/>
    </font>
    <font>
      <b/>
      <sz val="12"/>
      <color rgb="FF11131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4F6F8"/>
      </patternFill>
    </fill>
    <fill>
      <patternFill patternType="solid">
        <fgColor rgb="FF1F3864"/>
      </patternFill>
    </fill>
    <fill>
      <patternFill patternType="solid">
        <fgColor rgb="FFFFE699"/>
      </patternFill>
    </fill>
    <fill>
      <patternFill patternType="solid">
        <fgColor theme="3" tint="-0.249977111117893"/>
        <bgColor rgb="FF111318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4F6F8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0F1E33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2" borderId="0" xfId="0" applyFill="1"/>
    <xf numFmtId="0" fontId="3" fillId="3" borderId="0" xfId="0" applyFont="1" applyFill="1" applyAlignment="1">
      <alignment horizontal="center" vertical="center"/>
    </xf>
    <xf numFmtId="49" fontId="4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0" xfId="0" applyFont="1"/>
    <xf numFmtId="49" fontId="7" fillId="4" borderId="2" xfId="0" applyNumberFormat="1" applyFont="1" applyFill="1" applyBorder="1" applyAlignment="1">
      <alignment horizontal="center" vertical="center" wrapText="1"/>
    </xf>
    <xf numFmtId="0" fontId="8" fillId="0" borderId="0" xfId="0" applyFont="1"/>
    <xf numFmtId="0" fontId="1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5" borderId="3" xfId="0" applyFont="1" applyFill="1" applyBorder="1" applyAlignment="1">
      <alignment horizontal="center" vertical="center"/>
    </xf>
    <xf numFmtId="0" fontId="17" fillId="5" borderId="4" xfId="0" applyFont="1" applyFill="1" applyBorder="1" applyAlignment="1">
      <alignment horizontal="center" vertical="center"/>
    </xf>
    <xf numFmtId="0" fontId="17" fillId="5" borderId="5" xfId="0" applyFont="1" applyFill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0" fillId="0" borderId="1" xfId="0" applyBorder="1"/>
    <xf numFmtId="0" fontId="14" fillId="0" borderId="8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0" fillId="0" borderId="0" xfId="0" applyFill="1"/>
    <xf numFmtId="0" fontId="9" fillId="0" borderId="0" xfId="0" applyFont="1" applyFill="1"/>
    <xf numFmtId="0" fontId="17" fillId="0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 wrapText="1"/>
    </xf>
    <xf numFmtId="2" fontId="10" fillId="0" borderId="0" xfId="0" applyNumberFormat="1" applyFont="1" applyFill="1" applyBorder="1" applyAlignment="1">
      <alignment horizontal="center" vertical="center"/>
    </xf>
    <xf numFmtId="164" fontId="12" fillId="0" borderId="0" xfId="0" applyNumberFormat="1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2" fontId="21" fillId="0" borderId="9" xfId="0" applyNumberFormat="1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 wrapText="1"/>
    </xf>
    <xf numFmtId="2" fontId="21" fillId="0" borderId="0" xfId="0" applyNumberFormat="1" applyFont="1" applyBorder="1" applyAlignment="1">
      <alignment horizontal="center" vertical="center"/>
    </xf>
    <xf numFmtId="2" fontId="19" fillId="0" borderId="0" xfId="0" applyNumberFormat="1" applyFont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0" fontId="14" fillId="6" borderId="6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/>
    </xf>
    <xf numFmtId="0" fontId="14" fillId="6" borderId="6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5" fillId="6" borderId="0" xfId="0" applyFont="1" applyFill="1" applyBorder="1" applyAlignment="1">
      <alignment horizontal="center" vertical="center"/>
    </xf>
    <xf numFmtId="2" fontId="18" fillId="6" borderId="0" xfId="0" applyNumberFormat="1" applyFont="1" applyFill="1" applyBorder="1" applyAlignment="1">
      <alignment horizontal="center" vertical="center"/>
    </xf>
    <xf numFmtId="164" fontId="18" fillId="6" borderId="0" xfId="0" applyNumberFormat="1" applyFont="1" applyFill="1" applyBorder="1" applyAlignment="1">
      <alignment horizontal="center" vertical="center"/>
    </xf>
    <xf numFmtId="164" fontId="19" fillId="6" borderId="0" xfId="0" applyNumberFormat="1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2" fontId="18" fillId="0" borderId="0" xfId="0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164" fontId="19" fillId="0" borderId="0" xfId="0" applyNumberFormat="1" applyFont="1" applyBorder="1" applyAlignment="1">
      <alignment horizontal="center" vertical="center"/>
    </xf>
    <xf numFmtId="2" fontId="21" fillId="0" borderId="10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19" fillId="6" borderId="0" xfId="0" applyNumberFormat="1" applyFont="1" applyFill="1" applyBorder="1" applyAlignment="1">
      <alignment horizontal="center" vertical="center"/>
    </xf>
    <xf numFmtId="0" fontId="14" fillId="6" borderId="8" xfId="0" applyFont="1" applyFill="1" applyBorder="1" applyAlignment="1">
      <alignment horizontal="center" vertical="center" wrapText="1"/>
    </xf>
    <xf numFmtId="0" fontId="16" fillId="6" borderId="9" xfId="0" applyFont="1" applyFill="1" applyBorder="1" applyAlignment="1">
      <alignment horizontal="center" vertical="center" wrapText="1"/>
    </xf>
    <xf numFmtId="2" fontId="21" fillId="6" borderId="9" xfId="0" applyNumberFormat="1" applyFont="1" applyFill="1" applyBorder="1" applyAlignment="1">
      <alignment horizontal="center" vertical="center"/>
    </xf>
    <xf numFmtId="2" fontId="19" fillId="6" borderId="9" xfId="0" applyNumberFormat="1" applyFont="1" applyFill="1" applyBorder="1" applyAlignment="1">
      <alignment horizontal="center" vertical="center"/>
    </xf>
    <xf numFmtId="2" fontId="21" fillId="6" borderId="10" xfId="0" applyNumberFormat="1" applyFont="1" applyFill="1" applyBorder="1" applyAlignment="1">
      <alignment horizontal="center" vertical="center"/>
    </xf>
    <xf numFmtId="0" fontId="14" fillId="6" borderId="8" xfId="0" applyFont="1" applyFill="1" applyBorder="1" applyAlignment="1">
      <alignment horizontal="center" vertical="center"/>
    </xf>
    <xf numFmtId="0" fontId="16" fillId="6" borderId="9" xfId="0" applyFont="1" applyFill="1" applyBorder="1" applyAlignment="1">
      <alignment horizontal="center" vertical="center"/>
    </xf>
    <xf numFmtId="0" fontId="0" fillId="0" borderId="0" xfId="0" applyBorder="1"/>
    <xf numFmtId="0" fontId="1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0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27A34"/>
      <rgbColor rgb="FF000080"/>
      <rgbColor rgb="FFB8860B"/>
      <rgbColor rgb="FF800080"/>
      <rgbColor rgb="FF008080"/>
      <rgbColor rgb="FFC0C0C0"/>
      <rgbColor rgb="FF808080"/>
      <rgbColor rgb="FF9999FF"/>
      <rgbColor rgb="FF993366"/>
      <rgbColor rgb="FFF4F6F8"/>
      <rgbColor rgb="FFCCFFFF"/>
      <rgbColor rgb="FF660066"/>
      <rgbColor rgb="FFFF8080"/>
      <rgbColor rgb="FF1257A6"/>
      <rgbColor rgb="FFD8DC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F1E33"/>
      <rgbColor rgb="FF339966"/>
      <rgbColor rgb="FF111318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tt.rtd">
      <tp t="s">
        <v>94.40</v>
        <stp/>
        <stp>4639989438541725000</stp>
        <stp>High</stp>
        <tr r="S7" s="1"/>
      </tp>
      <tp t="s">
        <v>4.4400</v>
        <stp/>
        <stp>1879699566955683308</stp>
        <stp>High</stp>
        <tr r="K7" s="1"/>
        <tr r="K13" s="1"/>
      </tp>
      <tp t="s">
        <v>4639989438541725000</v>
        <stp/>
        <stp>Inst</stp>
        <stp>CME</stp>
        <stp>BZV6</stp>
        <tr r="C8" s="1"/>
      </tp>
      <tp t="s">
        <v>"services.rtd.failedToFindInstrument"</v>
        <stp/>
        <stp>Inst</stp>
        <stp>CME</stp>
        <stp>Oct26 HO-CL Crack</stp>
        <tr r="C12" s="1"/>
      </tp>
      <tp t="s">
        <v>13570804434019274717</v>
        <stp/>
        <stp>Inst</stp>
        <stp>CME</stp>
        <stp>RBV6</stp>
        <tr r="C6" s="1"/>
      </tp>
      <tp t="s">
        <v>"services.rtd.failedToFindInstrument"</v>
        <stp/>
        <stp>Inst</stp>
        <stp>CME</stp>
        <stp>CL Oct26 - BZ Oct26 Inter-Product</stp>
        <tr r="C10" s="1"/>
      </tp>
      <tp t="s">
        <v>14365898999095677546</v>
        <stp/>
        <stp>Inst</stp>
        <stp>CME</stp>
        <stp>CLV6</stp>
        <tr r="C9" s="1"/>
      </tp>
      <tp t="s">
        <v>1879699566955683308</v>
        <stp/>
        <stp>Inst</stp>
        <stp>CME</stp>
        <stp>HOV6</stp>
        <tr r="C7" s="1"/>
      </tp>
      <tp t="s">
        <v>86.67</v>
        <stp/>
        <stp>14365898999095677546</stp>
        <stp>Ask</stp>
        <tr r="I8" s="1"/>
        <tr r="I14" s="1"/>
        <tr r="Q8" s="1"/>
      </tp>
      <tp t="s">
        <v>3.0634</v>
        <stp/>
        <stp>13570804434019274717</stp>
        <stp>Bid</stp>
        <tr r="H12" s="1"/>
      </tp>
      <tp t="s">
        <v>3.0638</v>
        <stp/>
        <stp>13570804434019274717</stp>
        <stp>Ask</stp>
        <tr r="I12" s="1"/>
      </tp>
      <tp t="s">
        <v>86.65</v>
        <stp/>
        <stp>14365898999095677546</stp>
        <stp>Bid</stp>
        <tr r="P8" s="1"/>
        <tr r="H8" s="1"/>
        <tr r="H14" s="1"/>
      </tp>
      <tp t="s">
        <v>85.80</v>
        <stp/>
        <stp>14365898999095677546</stp>
        <stp>Low</stp>
        <tr r="L14" s="1"/>
        <tr r="L8" s="1"/>
        <tr r="T8" s="1"/>
      </tp>
      <tp t="s">
        <v>2.9897</v>
        <stp/>
        <stp>13570804434019274717</stp>
        <stp>Low</stp>
        <tr r="L12" s="1"/>
      </tp>
      <tp t="s">
        <v>92.77</v>
        <stp/>
        <stp>4639989438541725000</stp>
        <stp>Low</stp>
        <tr r="T7" s="1"/>
      </tp>
      <tp t="s">
        <v>3.0751</v>
        <stp/>
        <stp>13570804434019274717</stp>
        <stp>High</stp>
        <tr r="K12" s="1"/>
      </tp>
      <tp t="s">
        <v>4.4141</v>
        <stp/>
        <stp>1879699566955683308</stp>
        <stp>Bid</stp>
        <tr r="H13" s="1"/>
        <tr r="H7" s="1"/>
      </tp>
      <tp t="s">
        <v>87.51</v>
        <stp/>
        <stp>14365898999095677546</stp>
        <stp>High</stp>
        <tr r="K8" s="1"/>
        <tr r="K14" s="1"/>
        <tr r="S8" s="1"/>
      </tp>
      <tp t="s">
        <v>4.4151</v>
        <stp/>
        <stp>1879699566955683308</stp>
        <stp>Ask</stp>
        <tr r="I7" s="1"/>
        <tr r="I13" s="1"/>
      </tp>
      <tp t="s">
        <v>4.3209</v>
        <stp/>
        <stp>1879699566955683308</stp>
        <stp>Low</stp>
        <tr r="L7" s="1"/>
        <tr r="L13" s="1"/>
      </tp>
      <tp t="s">
        <v>94.09</v>
        <stp/>
        <stp>4639989438541725000</stp>
        <stp>Bid</stp>
        <tr r="P7" s="1"/>
      </tp>
      <tp t="s">
        <v>94.13</v>
        <stp/>
        <stp>4639989438541725000</stp>
        <stp>Ask</stp>
        <tr r="Q7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V51"/>
  <sheetViews>
    <sheetView showGridLines="0" tabSelected="1" zoomScaleNormal="100" workbookViewId="0">
      <pane xSplit="1" ySplit="5" topLeftCell="D6" activePane="bottomRight" state="frozen"/>
      <selection pane="topRight" activeCell="B1" sqref="B1"/>
      <selection pane="bottomLeft" activeCell="A7" sqref="A7"/>
      <selection pane="bottomRight" activeCell="P12" sqref="P12"/>
    </sheetView>
  </sheetViews>
  <sheetFormatPr defaultColWidth="8.7109375" defaultRowHeight="15" x14ac:dyDescent="0.25"/>
  <cols>
    <col min="1" max="1" width="2.140625" hidden="1" customWidth="1"/>
    <col min="2" max="2" width="11" hidden="1" customWidth="1"/>
    <col min="3" max="3" width="30.42578125" hidden="1" customWidth="1"/>
    <col min="4" max="5" width="3.42578125" customWidth="1"/>
    <col min="6" max="6" width="16.140625" style="40" bestFit="1" customWidth="1"/>
    <col min="7" max="7" width="30.5703125" hidden="1" customWidth="1"/>
    <col min="8" max="10" width="17" bestFit="1" customWidth="1"/>
    <col min="11" max="12" width="17.42578125" bestFit="1" customWidth="1"/>
    <col min="13" max="13" width="2" customWidth="1"/>
    <col min="14" max="14" width="17.5703125" customWidth="1"/>
    <col min="15" max="15" width="16.7109375" hidden="1" customWidth="1"/>
    <col min="16" max="18" width="18.28515625" bestFit="1" customWidth="1"/>
    <col min="19" max="20" width="16.42578125" bestFit="1" customWidth="1"/>
    <col min="24" max="24" width="17.28515625" bestFit="1" customWidth="1"/>
    <col min="25" max="26" width="14.28515625" bestFit="1" customWidth="1"/>
    <col min="27" max="27" width="11.42578125" bestFit="1" customWidth="1"/>
  </cols>
  <sheetData>
    <row r="2" spans="1:22" ht="68.25" customHeight="1" thickBot="1" x14ac:dyDescent="0.3">
      <c r="A2" s="1"/>
      <c r="B2" s="18"/>
      <c r="C2" s="65" t="s">
        <v>30</v>
      </c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</row>
    <row r="3" spans="1:22" ht="21.75" customHeight="1" thickBot="1" x14ac:dyDescent="0.3">
      <c r="A3" s="1"/>
      <c r="B3" s="18"/>
      <c r="C3" s="8"/>
      <c r="D3" s="62"/>
      <c r="E3" s="62"/>
      <c r="F3" s="63"/>
      <c r="G3" s="64"/>
      <c r="H3" s="62"/>
      <c r="I3" s="62"/>
      <c r="L3" s="9" t="str">
        <f ca="1">TEXT(NOW(),"hh:mm:ss")</f>
        <v>19:35:27</v>
      </c>
    </row>
    <row r="4" spans="1:22" ht="6.75" customHeight="1" x14ac:dyDescent="0.25">
      <c r="A4" s="1"/>
      <c r="B4" s="3" t="s">
        <v>13</v>
      </c>
      <c r="C4" s="3" t="s">
        <v>14</v>
      </c>
    </row>
    <row r="5" spans="1:22" ht="6.75" customHeight="1" x14ac:dyDescent="0.25">
      <c r="A5" s="1"/>
      <c r="B5" s="2" t="s">
        <v>0</v>
      </c>
      <c r="C5" s="2" t="s">
        <v>1</v>
      </c>
    </row>
    <row r="6" spans="1:22" ht="23.25" x14ac:dyDescent="0.25">
      <c r="A6" s="1"/>
      <c r="B6" s="3" t="s">
        <v>4</v>
      </c>
      <c r="C6" s="4" t="str">
        <f>RTD("tt.rtd",,"Inst",$C$4,$B6)</f>
        <v>13570804434019274717</v>
      </c>
      <c r="F6" s="14" t="s">
        <v>19</v>
      </c>
      <c r="G6" s="15" t="s">
        <v>20</v>
      </c>
      <c r="H6" s="15" t="s">
        <v>21</v>
      </c>
      <c r="I6" s="15" t="s">
        <v>22</v>
      </c>
      <c r="J6" s="15" t="s">
        <v>23</v>
      </c>
      <c r="K6" s="15" t="s">
        <v>24</v>
      </c>
      <c r="L6" s="16" t="s">
        <v>25</v>
      </c>
      <c r="M6" s="13"/>
      <c r="N6" s="14" t="s">
        <v>19</v>
      </c>
      <c r="O6" s="15" t="s">
        <v>20</v>
      </c>
      <c r="P6" s="15" t="s">
        <v>21</v>
      </c>
      <c r="Q6" s="15" t="s">
        <v>22</v>
      </c>
      <c r="R6" s="15" t="s">
        <v>23</v>
      </c>
      <c r="S6" s="15" t="s">
        <v>24</v>
      </c>
      <c r="T6" s="16" t="s">
        <v>25</v>
      </c>
      <c r="U6" s="53"/>
      <c r="V6" s="53"/>
    </row>
    <row r="7" spans="1:22" ht="55.5" customHeight="1" x14ac:dyDescent="0.65">
      <c r="A7" s="1"/>
      <c r="B7" s="3" t="s">
        <v>7</v>
      </c>
      <c r="C7" s="4" t="str">
        <f>RTD("tt.rtd",,"Inst",$C$4,$B7)</f>
        <v>1879699566955683308</v>
      </c>
      <c r="D7" s="5"/>
      <c r="E7" s="5"/>
      <c r="F7" s="38" t="s">
        <v>26</v>
      </c>
      <c r="G7" s="43" t="s">
        <v>6</v>
      </c>
      <c r="H7" s="44">
        <f>IF($C7="","",VALUE(RTD("tt.rtd",,$C7,"Bid")))</f>
        <v>4.4141000000000004</v>
      </c>
      <c r="I7" s="45">
        <f>IF($C7="","",VALUE(RTD("tt.rtd",,$C7,"Ask")))</f>
        <v>4.4150999999999998</v>
      </c>
      <c r="J7" s="46">
        <f>I7-H7</f>
        <v>9.9999999999944578E-4</v>
      </c>
      <c r="K7" s="47">
        <f>IF($C7="","",VALUE(RTD("tt.rtd",,$C7,"High")))</f>
        <v>4.4400000000000004</v>
      </c>
      <c r="L7" s="37">
        <f>IF($C7="","",VALUE(RTD("tt.rtd",,$C7,"Low")))</f>
        <v>4.3209</v>
      </c>
      <c r="M7" s="11"/>
      <c r="N7" s="38" t="s">
        <v>29</v>
      </c>
      <c r="O7" s="43" t="s">
        <v>8</v>
      </c>
      <c r="P7" s="44">
        <f>IF($C8="","",VALUE(RTD("tt.rtd",,$C8,"Bid")))</f>
        <v>94.09</v>
      </c>
      <c r="Q7" s="44">
        <f>IF($C8="","",VALUE(RTD("tt.rtd",,$C8,"Ask")))</f>
        <v>94.13</v>
      </c>
      <c r="R7" s="54">
        <f>Q7-P7</f>
        <v>3.9999999999992042E-2</v>
      </c>
      <c r="S7" s="47">
        <f>IF($C8="","",VALUE(RTD("tt.rtd",,$C8,"High")))</f>
        <v>94.4</v>
      </c>
      <c r="T7" s="37">
        <f>IF($C8="","",VALUE(RTD("tt.rtd",,$C8,"Low")))</f>
        <v>92.77</v>
      </c>
      <c r="U7" s="53"/>
      <c r="V7" s="53"/>
    </row>
    <row r="8" spans="1:22" ht="55.5" customHeight="1" x14ac:dyDescent="0.65">
      <c r="A8" s="1"/>
      <c r="B8" s="3" t="s">
        <v>9</v>
      </c>
      <c r="C8" s="4" t="str">
        <f>RTD("tt.rtd",,"Inst",$C$4,$B8)</f>
        <v>4639989438541725000</v>
      </c>
      <c r="D8" s="5"/>
      <c r="E8" s="5"/>
      <c r="F8" s="39" t="s">
        <v>27</v>
      </c>
      <c r="G8" s="48" t="s">
        <v>11</v>
      </c>
      <c r="H8" s="49">
        <f>IF($C9="","",VALUE(RTD("tt.rtd",,$C9,"Bid")))</f>
        <v>86.65</v>
      </c>
      <c r="I8" s="49">
        <f>IF($C9="","",VALUE(RTD("tt.rtd",,$C9,"Ask")))</f>
        <v>86.67</v>
      </c>
      <c r="J8" s="34">
        <f>I8-H8</f>
        <v>1.9999999999996021E-2</v>
      </c>
      <c r="K8" s="50">
        <f>IF($C9="","",VALUE(RTD("tt.rtd",,$C9,"High")))</f>
        <v>87.51</v>
      </c>
      <c r="L8" s="29">
        <f>IF($C9="","",VALUE(RTD("tt.rtd",,$C9,"Low")))</f>
        <v>85.8</v>
      </c>
      <c r="M8" s="11"/>
      <c r="N8" s="39" t="s">
        <v>27</v>
      </c>
      <c r="O8" s="48" t="s">
        <v>11</v>
      </c>
      <c r="P8" s="49">
        <f>IF($C9="","",VALUE(RTD("tt.rtd",,$C9,"Bid")))</f>
        <v>86.65</v>
      </c>
      <c r="Q8" s="49">
        <f>IF($C9="","",VALUE(RTD("tt.rtd",,$C9,"Ask")))</f>
        <v>86.67</v>
      </c>
      <c r="R8" s="34">
        <f>Q8-P8</f>
        <v>1.9999999999996021E-2</v>
      </c>
      <c r="S8" s="50">
        <f>IF($C9="","",VALUE(RTD("tt.rtd",,$C9,"High")))</f>
        <v>87.51</v>
      </c>
      <c r="T8" s="29">
        <f>IF($C9="","",VALUE(RTD("tt.rtd",,$C9,"Low")))</f>
        <v>85.8</v>
      </c>
      <c r="U8" s="53"/>
      <c r="V8" s="53"/>
    </row>
    <row r="9" spans="1:22" ht="55.5" customHeight="1" x14ac:dyDescent="0.65">
      <c r="A9" s="1"/>
      <c r="B9" s="3" t="s">
        <v>12</v>
      </c>
      <c r="C9" s="4" t="str">
        <f>RTD("tt.rtd",,"Inst",$C$4,$B9)</f>
        <v>14365898999095677546</v>
      </c>
      <c r="D9" s="5"/>
      <c r="E9" s="5"/>
      <c r="F9" s="55" t="s">
        <v>28</v>
      </c>
      <c r="G9" s="56"/>
      <c r="H9" s="57">
        <f>(H7*42)-H8</f>
        <v>98.742199999999997</v>
      </c>
      <c r="I9" s="57">
        <f>(I7*42)-I8</f>
        <v>98.764200000000002</v>
      </c>
      <c r="J9" s="58">
        <f>I9-H9</f>
        <v>2.2000000000005571E-2</v>
      </c>
      <c r="K9" s="57">
        <f>(K7*42)-K8</f>
        <v>98.970000000000013</v>
      </c>
      <c r="L9" s="59">
        <f>(L7*42)-L8</f>
        <v>95.677800000000005</v>
      </c>
      <c r="M9" s="11"/>
      <c r="N9" s="60" t="s">
        <v>16</v>
      </c>
      <c r="O9" s="61"/>
      <c r="P9" s="57">
        <f>P7-P8</f>
        <v>7.4399999999999977</v>
      </c>
      <c r="Q9" s="57">
        <f t="shared" ref="Q9" si="0">Q7-Q8</f>
        <v>7.4599999999999937</v>
      </c>
      <c r="R9" s="58">
        <f>Q9-P9</f>
        <v>1.9999999999996021E-2</v>
      </c>
      <c r="S9" s="57">
        <f>S7-S8</f>
        <v>6.8900000000000006</v>
      </c>
      <c r="T9" s="59">
        <f>T7-T8</f>
        <v>6.9699999999999989</v>
      </c>
      <c r="U9" s="53"/>
      <c r="V9" s="53"/>
    </row>
    <row r="10" spans="1:22" ht="36" customHeight="1" x14ac:dyDescent="0.65">
      <c r="A10" s="1"/>
      <c r="B10" s="6" t="s">
        <v>17</v>
      </c>
      <c r="C10" s="4" t="str">
        <f>RTD("tt.rtd",,"Inst",$C$4,$B10)</f>
        <v>"services.rtd.failedToFindInstrument"</v>
      </c>
      <c r="D10" s="5"/>
      <c r="E10" s="5"/>
      <c r="F10" s="11"/>
      <c r="G10" s="11"/>
      <c r="H10" s="11"/>
      <c r="I10" s="11"/>
      <c r="J10" s="11"/>
      <c r="K10" s="11"/>
      <c r="L10" s="11"/>
      <c r="M10" s="11"/>
      <c r="N10" s="53"/>
      <c r="O10" s="53"/>
      <c r="P10" s="53"/>
      <c r="Q10" s="53"/>
      <c r="R10" s="53"/>
      <c r="S10" s="53"/>
      <c r="T10" s="53"/>
      <c r="U10" s="53"/>
      <c r="V10" s="53"/>
    </row>
    <row r="11" spans="1:22" ht="42" x14ac:dyDescent="0.65">
      <c r="A11" s="1"/>
      <c r="B11" s="6"/>
      <c r="C11" s="4"/>
      <c r="D11" s="5"/>
      <c r="E11" s="5"/>
      <c r="F11" s="14" t="s">
        <v>19</v>
      </c>
      <c r="G11" s="15" t="s">
        <v>20</v>
      </c>
      <c r="H11" s="15" t="s">
        <v>21</v>
      </c>
      <c r="I11" s="15" t="s">
        <v>22</v>
      </c>
      <c r="J11" s="15" t="s">
        <v>23</v>
      </c>
      <c r="K11" s="15" t="s">
        <v>24</v>
      </c>
      <c r="L11" s="16" t="s">
        <v>25</v>
      </c>
      <c r="M11" s="11"/>
      <c r="N11" s="31"/>
      <c r="O11" s="32"/>
      <c r="P11" s="33"/>
      <c r="Q11" s="33"/>
      <c r="R11" s="34"/>
      <c r="S11" s="35"/>
      <c r="T11" s="35"/>
      <c r="U11" s="53"/>
      <c r="V11" s="53"/>
    </row>
    <row r="12" spans="1:22" ht="50.25" customHeight="1" x14ac:dyDescent="0.65">
      <c r="A12" s="1"/>
      <c r="B12" s="6" t="s">
        <v>18</v>
      </c>
      <c r="C12" s="4" t="str">
        <f>RTD("tt.rtd",,"Inst",$C$4,$B12)</f>
        <v>"services.rtd.failedToFindInstrument"</v>
      </c>
      <c r="D12" s="5"/>
      <c r="E12" s="5"/>
      <c r="F12" s="36" t="s">
        <v>2</v>
      </c>
      <c r="G12" s="43" t="s">
        <v>3</v>
      </c>
      <c r="H12" s="44">
        <f>IF($C6="","",VALUE(RTD("tt.rtd",,$C6,"Bid")))</f>
        <v>3.0634000000000001</v>
      </c>
      <c r="I12" s="44">
        <f>IF($C6="","",VALUE(RTD("tt.rtd",,$C6,"Ask")))</f>
        <v>3.0638000000000001</v>
      </c>
      <c r="J12" s="46">
        <f>I12-H12</f>
        <v>3.9999999999995595E-4</v>
      </c>
      <c r="K12" s="47">
        <f>IF($C6="","",VALUE(RTD("tt.rtd",,$C6,"High")))</f>
        <v>3.0750999999999999</v>
      </c>
      <c r="L12" s="37">
        <f>IF($C6="","",VALUE(RTD("tt.rtd",,$C6,"Low")))</f>
        <v>2.9897</v>
      </c>
      <c r="M12" s="11"/>
      <c r="N12" s="11"/>
      <c r="O12" s="11"/>
      <c r="P12" s="11"/>
      <c r="Q12" s="11"/>
      <c r="R12" s="11"/>
      <c r="S12" s="12"/>
      <c r="T12" s="12"/>
      <c r="U12" s="53"/>
      <c r="V12" s="53"/>
    </row>
    <row r="13" spans="1:22" ht="50.25" customHeight="1" x14ac:dyDescent="0.65">
      <c r="A13" s="1"/>
      <c r="D13" s="5"/>
      <c r="E13" s="5"/>
      <c r="F13" s="17" t="s">
        <v>5</v>
      </c>
      <c r="G13" s="48" t="s">
        <v>6</v>
      </c>
      <c r="H13" s="49">
        <f>IF($C7="","",VALUE(RTD("tt.rtd",,$C7,"Bid")))</f>
        <v>4.4141000000000004</v>
      </c>
      <c r="I13" s="49">
        <f>IF($C7="","",VALUE(RTD("tt.rtd",,$C7,"Ask")))</f>
        <v>4.4150999999999998</v>
      </c>
      <c r="J13" s="51">
        <f>I13-H13</f>
        <v>9.9999999999944578E-4</v>
      </c>
      <c r="K13" s="50">
        <f>IF($C7="","",VALUE(RTD("tt.rtd",,$C7,"High")))</f>
        <v>4.4400000000000004</v>
      </c>
      <c r="L13" s="29">
        <f>IF($C7="","",VALUE(RTD("tt.rtd",,$C7,"Low")))</f>
        <v>4.3209</v>
      </c>
      <c r="M13" s="11"/>
      <c r="N13" s="23"/>
      <c r="O13" s="23"/>
      <c r="P13" s="23"/>
      <c r="Q13" s="23"/>
      <c r="R13" s="23"/>
      <c r="S13" s="23"/>
      <c r="T13" s="23"/>
      <c r="U13" s="53"/>
      <c r="V13" s="53"/>
    </row>
    <row r="14" spans="1:22" ht="50.25" customHeight="1" x14ac:dyDescent="0.65">
      <c r="A14" s="1"/>
      <c r="D14" s="5"/>
      <c r="E14" s="5"/>
      <c r="F14" s="36" t="s">
        <v>10</v>
      </c>
      <c r="G14" s="43" t="s">
        <v>11</v>
      </c>
      <c r="H14" s="44">
        <f>IF($C9="","",VALUE(RTD("tt.rtd",,$C9,"Bid")))</f>
        <v>86.65</v>
      </c>
      <c r="I14" s="44">
        <f>IF($C9="","",VALUE(RTD("tt.rtd",,$C9,"Ask")))</f>
        <v>86.67</v>
      </c>
      <c r="J14" s="54">
        <f>I14-H14</f>
        <v>1.9999999999996021E-2</v>
      </c>
      <c r="K14" s="47">
        <f>IF($C9="","",VALUE(RTD("tt.rtd",,$C9,"High")))</f>
        <v>87.51</v>
      </c>
      <c r="L14" s="37">
        <f>IF($C9="","",VALUE(RTD("tt.rtd",,$C9,"Low")))</f>
        <v>85.8</v>
      </c>
      <c r="M14" s="11"/>
      <c r="N14" s="24"/>
      <c r="O14" s="25"/>
      <c r="P14" s="26"/>
      <c r="Q14" s="26"/>
      <c r="R14" s="27"/>
      <c r="S14" s="28"/>
      <c r="T14" s="28"/>
      <c r="U14" s="53"/>
      <c r="V14" s="53"/>
    </row>
    <row r="15" spans="1:22" ht="50.25" customHeight="1" x14ac:dyDescent="0.65">
      <c r="A15" s="1"/>
      <c r="D15" s="5"/>
      <c r="E15" s="5"/>
      <c r="F15" s="19" t="s">
        <v>15</v>
      </c>
      <c r="G15" s="20"/>
      <c r="H15" s="30">
        <f>((H12*2*42)+(H13*1*42)-(I14*3))/3</f>
        <v>60.902600000000007</v>
      </c>
      <c r="I15" s="30">
        <f>((I12*2*42)+(I13*1*42)-(I14*3))/3</f>
        <v>60.927800000000012</v>
      </c>
      <c r="J15" s="30"/>
      <c r="K15" s="30">
        <f>((K12*2*42)+(K13*1*42)-(K14*3))/3</f>
        <v>60.752800000000001</v>
      </c>
      <c r="L15" s="52">
        <f>((L12*2*42)+(L13*1*42)-(L14*3))/3</f>
        <v>58.404200000000024</v>
      </c>
      <c r="M15" s="11"/>
      <c r="N15" s="24"/>
      <c r="O15" s="25"/>
      <c r="P15" s="26"/>
      <c r="Q15" s="26"/>
      <c r="R15" s="27"/>
      <c r="S15" s="28"/>
      <c r="T15" s="28"/>
      <c r="U15" s="53"/>
      <c r="V15" s="53"/>
    </row>
    <row r="16" spans="1:22" ht="42" x14ac:dyDescent="0.65">
      <c r="A16" s="1"/>
      <c r="D16" s="5"/>
      <c r="E16" s="5"/>
      <c r="F16" s="41"/>
      <c r="G16" s="10"/>
      <c r="H16" s="10"/>
      <c r="I16" s="10"/>
      <c r="J16" s="10"/>
      <c r="K16" s="10"/>
      <c r="L16" s="10"/>
      <c r="M16" s="10"/>
      <c r="N16" s="21"/>
      <c r="O16" s="21"/>
      <c r="P16" s="21"/>
      <c r="Q16" s="21"/>
      <c r="R16" s="21"/>
      <c r="S16" s="22"/>
      <c r="T16" s="22"/>
    </row>
    <row r="17" spans="1:10" ht="44.25" customHeight="1" x14ac:dyDescent="0.25">
      <c r="A17" s="1"/>
    </row>
    <row r="18" spans="1:10" x14ac:dyDescent="0.25">
      <c r="A18" s="1"/>
    </row>
    <row r="19" spans="1:10" x14ac:dyDescent="0.25">
      <c r="A19" s="1"/>
    </row>
    <row r="20" spans="1:10" x14ac:dyDescent="0.25">
      <c r="A20" s="1"/>
    </row>
    <row r="21" spans="1:10" x14ac:dyDescent="0.25">
      <c r="A21" s="1"/>
    </row>
    <row r="22" spans="1:10" ht="36" x14ac:dyDescent="0.55000000000000004">
      <c r="A22" s="1"/>
      <c r="F22" s="42"/>
      <c r="G22" s="7"/>
      <c r="H22" s="7"/>
      <c r="I22" s="7"/>
      <c r="J22" s="7"/>
    </row>
    <row r="23" spans="1:10" ht="36" x14ac:dyDescent="0.55000000000000004">
      <c r="A23" s="1"/>
      <c r="F23" s="42"/>
      <c r="G23" s="7"/>
      <c r="H23" s="7"/>
      <c r="I23" s="7"/>
      <c r="J23" s="7"/>
    </row>
    <row r="24" spans="1:10" ht="36" x14ac:dyDescent="0.55000000000000004">
      <c r="A24" s="1"/>
      <c r="F24" s="42"/>
      <c r="G24" s="7"/>
      <c r="H24" s="7"/>
      <c r="I24" s="7"/>
      <c r="J24" s="7"/>
    </row>
    <row r="25" spans="1:10" x14ac:dyDescent="0.25">
      <c r="A25" s="1"/>
    </row>
    <row r="26" spans="1:10" ht="39.75" customHeight="1" x14ac:dyDescent="0.25">
      <c r="A26" s="1"/>
    </row>
    <row r="27" spans="1:10" x14ac:dyDescent="0.25">
      <c r="A27" s="1"/>
    </row>
    <row r="28" spans="1:10" x14ac:dyDescent="0.25">
      <c r="A28" s="1"/>
    </row>
    <row r="29" spans="1:10" ht="36" x14ac:dyDescent="0.55000000000000004">
      <c r="A29" s="1"/>
      <c r="F29" s="42"/>
      <c r="G29" s="7"/>
      <c r="H29" s="7"/>
      <c r="I29" s="7"/>
      <c r="J29" s="7"/>
    </row>
    <row r="30" spans="1:10" ht="36" x14ac:dyDescent="0.55000000000000004">
      <c r="A30" s="1"/>
      <c r="F30" s="42"/>
      <c r="G30" s="7"/>
      <c r="H30" s="7"/>
      <c r="I30" s="7"/>
      <c r="J30" s="7"/>
    </row>
    <row r="31" spans="1:10" ht="36" x14ac:dyDescent="0.55000000000000004">
      <c r="A31" s="1"/>
      <c r="F31" s="42"/>
      <c r="G31" s="7"/>
      <c r="H31" s="7"/>
      <c r="I31" s="7"/>
      <c r="J31" s="7"/>
    </row>
    <row r="32" spans="1:10" ht="36" x14ac:dyDescent="0.55000000000000004">
      <c r="A32" s="1"/>
      <c r="F32" s="42"/>
      <c r="G32" s="7"/>
      <c r="H32" s="7"/>
      <c r="I32" s="7"/>
      <c r="J32" s="7"/>
    </row>
    <row r="33" spans="1:10" ht="36" x14ac:dyDescent="0.55000000000000004">
      <c r="A33" s="1"/>
      <c r="F33" s="42"/>
      <c r="G33" s="7"/>
      <c r="H33" s="7"/>
      <c r="I33" s="7"/>
      <c r="J33" s="7"/>
    </row>
    <row r="34" spans="1:10" ht="36" x14ac:dyDescent="0.55000000000000004">
      <c r="A34" s="1"/>
      <c r="F34" s="42"/>
      <c r="G34" s="7"/>
      <c r="H34" s="7"/>
      <c r="I34" s="7"/>
      <c r="J34" s="7"/>
    </row>
    <row r="35" spans="1:10" ht="36" x14ac:dyDescent="0.55000000000000004">
      <c r="A35" s="1"/>
      <c r="F35" s="42"/>
      <c r="G35" s="7"/>
      <c r="H35" s="7"/>
      <c r="I35" s="7"/>
      <c r="J35" s="7"/>
    </row>
    <row r="36" spans="1:10" ht="36" x14ac:dyDescent="0.55000000000000004">
      <c r="A36" s="1"/>
      <c r="F36" s="42"/>
      <c r="G36" s="7"/>
      <c r="H36" s="7"/>
      <c r="I36" s="7"/>
      <c r="J36" s="7"/>
    </row>
    <row r="37" spans="1:10" ht="36" x14ac:dyDescent="0.55000000000000004">
      <c r="A37" s="1"/>
      <c r="F37" s="42"/>
      <c r="G37" s="7"/>
      <c r="H37" s="7"/>
      <c r="I37" s="7"/>
      <c r="J37" s="7"/>
    </row>
    <row r="38" spans="1:10" ht="36" x14ac:dyDescent="0.55000000000000004">
      <c r="A38" s="1"/>
      <c r="F38" s="42"/>
      <c r="G38" s="7"/>
      <c r="H38" s="7"/>
      <c r="I38" s="7"/>
      <c r="J38" s="7"/>
    </row>
    <row r="39" spans="1:10" ht="36" x14ac:dyDescent="0.55000000000000004">
      <c r="A39" s="1"/>
      <c r="F39" s="42"/>
      <c r="G39" s="7"/>
      <c r="H39" s="7"/>
      <c r="I39" s="7"/>
      <c r="J39" s="7"/>
    </row>
    <row r="40" spans="1:10" ht="36" x14ac:dyDescent="0.55000000000000004">
      <c r="F40" s="42"/>
      <c r="G40" s="7"/>
      <c r="H40" s="7"/>
      <c r="I40" s="7"/>
      <c r="J40" s="7"/>
    </row>
    <row r="41" spans="1:10" ht="36" x14ac:dyDescent="0.55000000000000004">
      <c r="F41" s="42"/>
      <c r="G41" s="7"/>
      <c r="H41" s="7"/>
      <c r="I41" s="7"/>
      <c r="J41" s="7"/>
    </row>
    <row r="42" spans="1:10" ht="36" x14ac:dyDescent="0.55000000000000004">
      <c r="F42" s="42"/>
      <c r="G42" s="7"/>
      <c r="H42" s="7"/>
      <c r="I42" s="7"/>
      <c r="J42" s="7"/>
    </row>
    <row r="43" spans="1:10" ht="36" x14ac:dyDescent="0.55000000000000004">
      <c r="F43" s="42"/>
      <c r="G43" s="7"/>
      <c r="H43" s="7"/>
      <c r="I43" s="7"/>
      <c r="J43" s="7"/>
    </row>
    <row r="44" spans="1:10" ht="36" x14ac:dyDescent="0.55000000000000004">
      <c r="F44" s="42"/>
      <c r="G44" s="7"/>
      <c r="H44" s="7"/>
      <c r="I44" s="7"/>
      <c r="J44" s="7"/>
    </row>
    <row r="45" spans="1:10" ht="36" x14ac:dyDescent="0.55000000000000004">
      <c r="F45" s="42"/>
      <c r="G45" s="7"/>
      <c r="H45" s="7"/>
      <c r="I45" s="7"/>
      <c r="J45" s="7"/>
    </row>
    <row r="46" spans="1:10" ht="36" x14ac:dyDescent="0.55000000000000004">
      <c r="F46" s="42"/>
      <c r="G46" s="7"/>
      <c r="H46" s="7"/>
      <c r="I46" s="7"/>
      <c r="J46" s="7"/>
    </row>
    <row r="47" spans="1:10" ht="36" x14ac:dyDescent="0.55000000000000004">
      <c r="F47" s="42"/>
      <c r="G47" s="7"/>
      <c r="H47" s="7"/>
      <c r="I47" s="7"/>
      <c r="J47" s="7"/>
    </row>
    <row r="48" spans="1:10" ht="36" x14ac:dyDescent="0.55000000000000004">
      <c r="F48" s="42"/>
      <c r="G48" s="7"/>
      <c r="H48" s="7"/>
      <c r="I48" s="7"/>
      <c r="J48" s="7"/>
    </row>
    <row r="49" spans="6:10" ht="36" x14ac:dyDescent="0.55000000000000004">
      <c r="F49" s="42"/>
      <c r="G49" s="7"/>
      <c r="H49" s="7"/>
      <c r="I49" s="7"/>
      <c r="J49" s="7"/>
    </row>
    <row r="50" spans="6:10" ht="36" x14ac:dyDescent="0.55000000000000004">
      <c r="F50" s="42"/>
      <c r="G50" s="7"/>
      <c r="H50" s="7"/>
      <c r="I50" s="7"/>
      <c r="J50" s="7"/>
    </row>
    <row r="51" spans="6:10" ht="36" x14ac:dyDescent="0.55000000000000004">
      <c r="F51" s="42"/>
      <c r="G51" s="7"/>
      <c r="H51" s="7"/>
      <c r="I51" s="7"/>
      <c r="J51" s="7"/>
    </row>
  </sheetData>
  <mergeCells count="3">
    <mergeCell ref="B2:B3"/>
    <mergeCell ref="F15:G15"/>
    <mergeCell ref="C2:T2"/>
  </mergeCells>
  <pageMargins left="0.75" right="0.75" top="1" bottom="1" header="0.511811023622047" footer="0.511811023622047"/>
  <pageSetup scale="91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Dashboard</vt:lpstr>
      <vt:lpstr>Dashboard!Print_Area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revision>0</cp:revision>
  <dcterms:created xsi:type="dcterms:W3CDTF">2026-08-21T11:03:17Z</dcterms:created>
  <dcterms:modified xsi:type="dcterms:W3CDTF">2026-08-21T15:35:33Z</dcterms:modified>
  <dc:language>en-US</dc:language>
</cp:coreProperties>
</file>