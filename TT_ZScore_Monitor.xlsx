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Detail" sheetId="2" state="visible" r:id="rId2"/>
    <sheet name="Config" sheetId="3" state="visible" r:id="rId3"/>
    <sheet name="Feed" sheetId="4" state="hidden" r:id="rId4"/>
    <sheet name="Buffer" sheetId="5" state="hidden" r:id="rId5"/>
    <sheet name="Log" sheetId="6" state="visible" r:id="rId6"/>
    <sheet name="Setup" sheetId="7" state="visible" r:id="rId7"/>
  </sheets>
  <definedNames>
    <definedName name="_xlnm.Print_Area" localSheetId="0">'Dashboard'!$A$2:$A$18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000"/>
    <numFmt numFmtId="165" formatCode="\$#,##0.00"/>
    <numFmt numFmtId="166" formatCode="#,##0.0000"/>
    <numFmt numFmtId="167" formatCode="0.0"/>
    <numFmt numFmtId="168" formatCode="\$#,##0.00;&quot;($&quot;#,##0.00\);\-"/>
  </numFmts>
  <fonts count="53">
    <font>
      <name val="Calibri"/>
      <charset val="1"/>
      <family val="2"/>
      <color theme="1"/>
      <sz val="11"/>
    </font>
    <font>
      <name val="Arial"/>
      <family val="0"/>
      <sz val="10"/>
    </font>
    <font>
      <name val="Arial"/>
      <family val="0"/>
      <sz val="10"/>
    </font>
    <font>
      <name val="Arial"/>
      <family val="0"/>
      <sz val="10"/>
    </font>
    <font>
      <name val="Arial"/>
      <charset val="1"/>
      <family val="2"/>
      <b val="1"/>
      <color rgb="FF111318"/>
      <sz val="20"/>
    </font>
    <font>
      <name val="Arial"/>
      <charset val="1"/>
      <family val="2"/>
      <b val="1"/>
      <color rgb="FF6B7280"/>
      <sz val="10"/>
    </font>
    <font>
      <name val="Arial"/>
      <charset val="1"/>
      <family val="2"/>
      <b val="1"/>
      <color rgb="FFB8860B"/>
      <sz val="14"/>
    </font>
    <font>
      <name val="Arial"/>
      <charset val="1"/>
      <family val="0"/>
      <b val="1"/>
      <color rgb="FF0000FF"/>
      <sz val="11"/>
    </font>
    <font>
      <name val="Arial"/>
      <charset val="1"/>
      <family val="0"/>
      <b val="1"/>
      <color rgb="FFFFFFFF"/>
      <sz val="9"/>
    </font>
    <font>
      <name val="Arial"/>
      <charset val="1"/>
      <family val="0"/>
      <color rgb="FF0E7C7B"/>
      <sz val="9"/>
    </font>
    <font>
      <name val="Arial"/>
      <charset val="1"/>
      <family val="2"/>
      <b val="1"/>
      <color rgb="FFFFFFFF"/>
      <sz val="18"/>
    </font>
    <font>
      <name val="Calibri"/>
      <charset val="1"/>
      <family val="2"/>
      <color theme="1"/>
      <sz val="18"/>
    </font>
    <font>
      <name val="Calibri"/>
      <charset val="1"/>
      <family val="2"/>
      <color theme="1"/>
      <sz val="32"/>
    </font>
    <font>
      <name val="Arial"/>
      <charset val="1"/>
      <family val="2"/>
      <b val="1"/>
      <color rgb="FF111318"/>
      <sz val="18"/>
    </font>
    <font>
      <name val="Arial"/>
      <charset val="1"/>
      <family val="2"/>
      <color rgb="FF6B7280"/>
      <sz val="18"/>
    </font>
    <font>
      <name val="Arial"/>
      <charset val="1"/>
      <family val="2"/>
      <b val="1"/>
      <color rgb="FF111318"/>
      <sz val="26"/>
    </font>
    <font>
      <name val="Arial"/>
      <charset val="1"/>
      <family val="2"/>
      <b val="1"/>
      <color rgb="FF127A34"/>
      <sz val="26"/>
    </font>
    <font>
      <name val="Calibri"/>
      <charset val="1"/>
      <family val="2"/>
      <b val="1"/>
      <color theme="1"/>
      <sz val="26"/>
    </font>
    <font>
      <name val="Calibri"/>
      <charset val="1"/>
      <family val="2"/>
      <color theme="1"/>
      <sz val="20"/>
    </font>
    <font>
      <name val="Arial"/>
      <charset val="1"/>
      <family val="2"/>
      <b val="1"/>
      <color rgb="FF1257A6"/>
      <sz val="26"/>
    </font>
    <font>
      <name val="Arial"/>
      <charset val="1"/>
      <family val="2"/>
      <b val="1"/>
      <color rgb="FF0000FF"/>
      <sz val="11"/>
    </font>
    <font>
      <name val="Calibri"/>
      <charset val="1"/>
      <family val="2"/>
      <color theme="1"/>
      <sz val="26"/>
    </font>
    <font>
      <name val="Calibri"/>
      <charset val="1"/>
      <family val="2"/>
      <color theme="1"/>
      <sz val="22"/>
    </font>
    <font>
      <name val="Arial"/>
      <charset val="1"/>
      <family val="2"/>
      <b val="1"/>
      <color rgb="FF127A34"/>
      <sz val="20"/>
    </font>
    <font>
      <name val="Calibri"/>
      <charset val="1"/>
      <family val="2"/>
      <b val="1"/>
      <color theme="1"/>
      <sz val="22"/>
    </font>
    <font>
      <name val="Arial"/>
      <charset val="1"/>
      <family val="0"/>
      <b val="1"/>
      <color rgb="FF127A34"/>
      <sz val="26"/>
    </font>
    <font>
      <name val="Arial"/>
      <charset val="1"/>
      <family val="0"/>
      <b val="1"/>
      <color rgb="FF111318"/>
      <sz val="13"/>
    </font>
    <font>
      <name val="Arial"/>
      <charset val="1"/>
      <family val="0"/>
      <b val="1"/>
      <color rgb="FFFFFFFF"/>
      <sz val="11"/>
    </font>
    <font>
      <name val="Arial"/>
      <charset val="1"/>
      <family val="0"/>
      <b val="1"/>
      <color rgb="FF111318"/>
      <sz val="16"/>
    </font>
    <font>
      <name val="Arial"/>
      <charset val="1"/>
      <family val="0"/>
      <b val="1"/>
      <color rgb="FF111318"/>
      <sz val="22"/>
    </font>
    <font>
      <name val="Arial"/>
      <charset val="1"/>
      <family val="0"/>
      <b val="1"/>
      <color rgb="FF111318"/>
      <sz val="11"/>
    </font>
    <font>
      <name val="Arial"/>
      <charset val="1"/>
      <family val="0"/>
      <b val="1"/>
      <color rgb="FF111318"/>
      <sz val="14"/>
    </font>
    <font>
      <name val="Calibri"/>
      <charset val="1"/>
      <family val="2"/>
      <color theme="1"/>
      <sz val="28"/>
    </font>
    <font>
      <name val="Arial"/>
      <charset val="1"/>
      <family val="0"/>
      <b val="1"/>
      <color rgb="FF111318"/>
      <sz val="12"/>
    </font>
    <font>
      <name val="Arial"/>
      <charset val="1"/>
      <family val="0"/>
      <color rgb="FF6B7280"/>
      <sz val="10"/>
    </font>
    <font>
      <name val="Arial"/>
      <charset val="1"/>
      <family val="0"/>
      <b val="1"/>
      <color rgb="FF1F3864"/>
      <sz val="14"/>
    </font>
    <font>
      <name val="Arial"/>
      <charset val="1"/>
      <family val="0"/>
      <i val="1"/>
      <color rgb="FF7F7F7F"/>
      <sz val="9"/>
    </font>
    <font>
      <name val="Arial"/>
      <charset val="1"/>
      <family val="0"/>
      <b val="1"/>
      <color rgb="FF1F3864"/>
      <sz val="11"/>
    </font>
    <font>
      <name val="Arial"/>
      <charset val="1"/>
      <family val="0"/>
      <b val="1"/>
      <color rgb="FF000000"/>
      <sz val="10"/>
    </font>
    <font>
      <name val="Arial"/>
      <charset val="1"/>
      <family val="0"/>
      <color rgb="FF008000"/>
      <sz val="9"/>
    </font>
    <font>
      <name val="Arial"/>
      <charset val="1"/>
      <family val="0"/>
      <color rgb="FF000000"/>
      <sz val="9"/>
    </font>
    <font>
      <name val="Arial"/>
      <charset val="1"/>
      <family val="0"/>
      <color rgb="FF7F7F7F"/>
      <sz val="9"/>
    </font>
    <font>
      <name val="Arial"/>
      <charset val="1"/>
      <family val="0"/>
      <color rgb="FF000000"/>
      <sz val="10"/>
    </font>
    <font>
      <name val="Arial"/>
      <charset val="1"/>
      <family val="0"/>
      <b val="1"/>
      <color rgb="FF1F3864"/>
      <sz val="9"/>
    </font>
    <font>
      <name val="Arial"/>
      <charset val="1"/>
      <family val="0"/>
      <b val="1"/>
      <i val="1"/>
      <color rgb="FFC00000"/>
      <sz val="9"/>
    </font>
    <font>
      <name val="Arial"/>
      <charset val="1"/>
      <family val="0"/>
      <b val="1"/>
      <color rgb="FF1F3864"/>
      <sz val="16"/>
    </font>
    <font>
      <name val="Arial"/>
      <charset val="1"/>
      <family val="0"/>
      <b val="1"/>
      <i val="1"/>
      <color rgb="FF000000"/>
      <sz val="9"/>
    </font>
    <font>
      <name val="Arial"/>
      <charset val="1"/>
      <family val="0"/>
      <b val="1"/>
      <color rgb="FF0000FF"/>
      <sz val="10"/>
    </font>
    <font>
      <name val="Arial"/>
      <charset val="1"/>
      <family val="0"/>
      <i val="1"/>
      <color rgb="FFC00000"/>
      <sz val="9"/>
    </font>
    <font>
      <name val="Arial"/>
      <charset val="1"/>
      <family val="0"/>
      <b val="1"/>
      <color rgb="FF1F3864"/>
      <sz val="13"/>
    </font>
    <font>
      <name val="Arial"/>
      <charset val="1"/>
      <family val="0"/>
      <b val="1"/>
      <color rgb="FF1F3864"/>
      <sz val="10"/>
    </font>
    <font>
      <name val="Arial"/>
      <charset val="1"/>
      <family val="0"/>
      <b val="1"/>
      <color rgb="FF1F3864"/>
      <sz val="12"/>
    </font>
    <font>
      <name val="Arial"/>
      <b val="1"/>
      <color rgb="00008000"/>
      <sz val="10"/>
    </font>
  </fonts>
  <fills count="12">
    <fill>
      <patternFill/>
    </fill>
    <fill>
      <patternFill patternType="gray125"/>
    </fill>
    <fill>
      <patternFill patternType="solid">
        <fgColor rgb="FFFFFFFF"/>
        <bgColor rgb="FFF2F2F2"/>
      </patternFill>
    </fill>
    <fill>
      <patternFill patternType="solid">
        <fgColor theme="0" tint="-0.05"/>
        <bgColor rgb="FFE7E6E6"/>
      </patternFill>
    </fill>
    <fill>
      <patternFill patternType="solid">
        <fgColor rgb="FFFFE699"/>
        <bgColor rgb="FFFFEB9C"/>
      </patternFill>
    </fill>
    <fill>
      <patternFill patternType="solid">
        <fgColor rgb="FF1F3864"/>
        <bgColor rgb="FF17375E"/>
      </patternFill>
    </fill>
    <fill>
      <patternFill patternType="solid">
        <fgColor theme="3" tint="-0.25"/>
        <bgColor rgb="FF1F3864"/>
      </patternFill>
    </fill>
    <fill>
      <patternFill patternType="solid">
        <fgColor rgb="FFE7E6E6"/>
        <bgColor rgb="FFD9E1F2"/>
      </patternFill>
    </fill>
    <fill>
      <patternFill patternType="solid">
        <fgColor rgb="FFC6EFCE"/>
        <bgColor rgb="FFD9E1F2"/>
      </patternFill>
    </fill>
    <fill>
      <patternFill patternType="solid">
        <fgColor rgb="FFFFC7CE"/>
        <bgColor rgb="FFE7E6E6"/>
      </patternFill>
    </fill>
    <fill>
      <patternFill patternType="solid">
        <fgColor rgb="FFD9E1F2"/>
        <bgColor rgb="FFE7E6E6"/>
      </patternFill>
    </fill>
    <fill>
      <patternFill patternType="solid">
        <fgColor rgb="FFFFFF00"/>
        <bgColor rgb="FFFFFF00"/>
      </patternFill>
    </fill>
  </fills>
  <borders count="11">
    <border>
      <left/>
      <right/>
      <top/>
      <bottom/>
      <diagonal/>
    </border>
    <border>
      <left/>
      <right/>
      <top/>
      <bottom style="medium">
        <color rgb="FF0F1E33"/>
      </bottom>
      <diagonal/>
    </border>
    <border>
      <left style="thin">
        <color rgb="FFBFBFBF"/>
      </left>
      <right style="thin">
        <color rgb="FFBFBFBF"/>
      </right>
      <top style="thin">
        <color rgb="FFBFBFBF"/>
      </top>
      <bottom style="thin">
        <color rgb="FFBFBFBF"/>
      </botto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6">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center" vertical="bottom"/>
    </xf>
    <xf numFmtId="0" fontId="41" fillId="0" borderId="2" applyAlignment="1" pivotButton="0" quotePrefix="0" xfId="0">
      <alignment horizontal="center"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pivotButton="0" quotePrefix="0" xfId="0"/>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0" fillId="0" borderId="1" pivotButton="0" quotePrefix="0" xfId="0"/>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0" fontId="0" fillId="0" borderId="9" pivotButton="0" quotePrefix="0" xfId="0"/>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52" fillId="0" borderId="0" pivotButton="0" quotePrefix="0" xfId="0"/>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color rgb="FF9C0006"/>
      </font>
      <fill>
        <patternFill>
          <bgColor rgb="FFFFC7CE"/>
        </patternFill>
      </fill>
    </dxf>
    <dxf>
      <font>
        <name val="Arial"/>
        <charset val="1"/>
        <family val="0"/>
        <b val="1"/>
        <color rgb="FF595959"/>
      </font>
      <fill>
        <patternFill>
          <bgColor rgb="FFE7E6E6"/>
        </patternFill>
      </fill>
    </dxf>
    <dxf>
      <font>
        <name val="Arial"/>
        <charset val="1"/>
        <family val="0"/>
        <b val="1"/>
        <color rgb="FF9C5700"/>
      </font>
      <fill>
        <patternFill>
          <bgColor rgb="FFFFEB9C"/>
        </patternFill>
      </fill>
    </dxf>
    <dxf>
      <font>
        <name val="Arial"/>
        <charset val="1"/>
        <family val="0"/>
        <b val="1"/>
        <color rgb="FF006100"/>
      </font>
      <fill>
        <patternFill>
          <bgColor rgb="FFC6EFCE"/>
        </patternFill>
      </fill>
    </dxf>
    <dxf>
      <font>
        <name val="Arial"/>
        <charset val="1"/>
        <family val="0"/>
        <b val="1"/>
        <color rgb="FF9C0006"/>
        <sz val="10"/>
      </font>
      <fill>
        <patternFill>
          <bgColor rgb="FFFFC7CE"/>
        </patternFill>
      </fill>
    </dxf>
    <dxf>
      <font>
        <name val="Arial"/>
        <charset val="1"/>
        <family val="0"/>
        <b val="1"/>
        <color rgb="FF595959"/>
        <sz val="10"/>
      </font>
      <fill>
        <patternFill>
          <bgColor rgb="FFE7E6E6"/>
        </patternFill>
      </fill>
    </dxf>
    <dxf>
      <font>
        <name val="Arial"/>
        <charset val="1"/>
        <family val="0"/>
        <b val="1"/>
        <color rgb="FF9C5700"/>
        <sz val="10"/>
      </font>
      <fill>
        <patternFill>
          <bgColor rgb="FFFFEB9C"/>
        </patternFill>
      </fill>
    </dxf>
    <dxf>
      <font>
        <name val="Arial"/>
        <charset val="1"/>
        <family val="0"/>
        <b val="1"/>
        <color rgb="FF006100"/>
        <sz val="1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B8860B"/>
      <rgbColor rgb="FF800080"/>
      <rgbColor rgb="FF0E7C7B"/>
      <rgbColor rgb="FFBFBFBF"/>
      <rgbColor rgb="FF7F7F7F"/>
      <rgbColor rgb="FF9999FF"/>
      <rgbColor rgb="FF993366"/>
      <rgbColor rgb="FFF2F2F2"/>
      <rgbColor rgb="FFE7E6E6"/>
      <rgbColor rgb="FF660066"/>
      <rgbColor rgb="FFFF8080"/>
      <rgbColor rgb="FF1257A6"/>
      <rgbColor rgb="FFD9E1F2"/>
      <rgbColor rgb="FF000080"/>
      <rgbColor rgb="FFFF00FF"/>
      <rgbColor rgb="FFFFFF00"/>
      <rgbColor rgb="FF00FFFF"/>
      <rgbColor rgb="FF800080"/>
      <rgbColor rgb="FF800000"/>
      <rgbColor rgb="FF127A34"/>
      <rgbColor rgb="FF0000FF"/>
      <rgbColor rgb="FF00CCFF"/>
      <rgbColor rgb="FFFFE699"/>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7375E"/>
      <rgbColor rgb="FF006100"/>
      <rgbColor rgb="FF0F1E33"/>
      <rgbColor rgb="FF111318"/>
      <rgbColor rgb="FF9C5700"/>
      <rgbColor rgb="FF993366"/>
      <rgbColor rgb="FF595959"/>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2:V51"/>
  <sheetViews>
    <sheetView showFormulas="0" showGridLines="0" showRowColHeaders="1" showZeros="1" rightToLeft="0" tabSelected="1" showOutlineSymbols="1" defaultGridColor="1" view="normal" topLeftCell="A1" colorId="64" zoomScale="100" zoomScaleNormal="100" zoomScalePageLayoutView="100" workbookViewId="0">
      <pane xSplit="1" ySplit="5" topLeftCell="D6" activePane="bottomRight" state="frozen"/>
      <selection pane="topLeft" activeCell="A1" activeCellId="0" sqref="A1"/>
      <selection pane="topRight" activeCell="D1" activeCellId="0" sqref="D1"/>
      <selection pane="bottomLeft" activeCell="A6" activeCellId="0" sqref="A6"/>
      <selection pane="bottomRight" activeCell="P12" activeCellId="0" sqref="P12"/>
    </sheetView>
  </sheetViews>
  <sheetFormatPr baseColWidth="8" defaultColWidth="8.71484375" defaultRowHeight="15" zeroHeight="0" outlineLevelRow="0"/>
  <cols>
    <col hidden="1" width="2.14" customWidth="1" style="142" min="1" max="1"/>
    <col hidden="1" width="11" customWidth="1" style="142" min="2" max="2"/>
    <col hidden="1" width="30.43" customWidth="1" style="142" min="3" max="3"/>
    <col width="3.43" customWidth="1" style="142" min="4" max="5"/>
    <col width="16.14" customWidth="1" style="143" min="6" max="6"/>
    <col hidden="1" width="30.57" customWidth="1" style="142" min="7" max="7"/>
    <col width="17" customWidth="1" style="142" min="8" max="10"/>
    <col width="17.43" customWidth="1" style="142" min="11" max="12"/>
    <col width="2" customWidth="1" style="142" min="13" max="13"/>
    <col width="17.57" customWidth="1" style="142" min="14" max="14"/>
    <col hidden="1" width="16.72" customWidth="1" style="142" min="15" max="15"/>
    <col width="18.29" customWidth="1" style="142" min="16" max="18"/>
    <col width="16.43" customWidth="1" style="142" min="19" max="20"/>
    <col width="17.29" customWidth="1" style="142" min="24" max="24"/>
    <col width="14.29" customWidth="1" style="142" min="25" max="26"/>
    <col width="11.43" customWidth="1" style="142" min="27" max="27"/>
  </cols>
  <sheetData>
    <row r="2" ht="68.25" customHeight="1" s="144">
      <c r="A2" s="145" t="n"/>
      <c r="B2" s="146" t="n"/>
      <c r="C2" s="147" t="inlineStr">
        <is>
          <t>ENERGY FUTURES BID / ASK SPREAD MONITOR</t>
        </is>
      </c>
    </row>
    <row r="3" ht="21.75" customHeight="1" s="144">
      <c r="A3" s="145" t="n"/>
      <c r="B3" s="148" t="n"/>
      <c r="C3" s="149" t="n"/>
      <c r="F3" s="150" t="n"/>
      <c r="G3" s="151" t="n"/>
      <c r="L3" s="152" t="n"/>
    </row>
    <row r="4" ht="6.75" customHeight="1" s="144">
      <c r="A4" s="145" t="n"/>
      <c r="B4" s="153" t="inlineStr">
        <is>
          <t>TT MARKET</t>
        </is>
      </c>
      <c r="C4" s="153" t="inlineStr">
        <is>
          <t>CME</t>
        </is>
      </c>
    </row>
    <row r="5" ht="6.75" customHeight="1" s="144">
      <c r="A5" s="145" t="n"/>
      <c r="B5" s="154" t="inlineStr">
        <is>
          <t>TT SHORT NAME</t>
        </is>
      </c>
      <c r="C5" s="154" t="inlineStr">
        <is>
          <t>INSTRUMENT ID</t>
        </is>
      </c>
    </row>
    <row r="6" ht="23.25" customHeight="1" s="144">
      <c r="A6" s="145" t="n"/>
      <c r="B6" s="153" t="inlineStr">
        <is>
          <t>RBV6</t>
        </is>
      </c>
      <c r="C6" s="155" t="n"/>
      <c r="F6" s="156" t="inlineStr">
        <is>
          <t>Symbol</t>
        </is>
      </c>
      <c r="G6" s="157" t="inlineStr">
        <is>
          <t>Contract</t>
        </is>
      </c>
      <c r="H6" s="157" t="inlineStr">
        <is>
          <t>Bid</t>
        </is>
      </c>
      <c r="I6" s="157" t="inlineStr">
        <is>
          <t>Ask</t>
        </is>
      </c>
      <c r="J6" s="157" t="inlineStr">
        <is>
          <t>Gap</t>
        </is>
      </c>
      <c r="K6" s="157" t="inlineStr">
        <is>
          <t>High</t>
        </is>
      </c>
      <c r="L6" s="158" t="inlineStr">
        <is>
          <t>Low</t>
        </is>
      </c>
      <c r="M6" s="159" t="n"/>
      <c r="N6" s="156" t="inlineStr">
        <is>
          <t>Symbol</t>
        </is>
      </c>
      <c r="O6" s="157" t="inlineStr">
        <is>
          <t>Contract</t>
        </is>
      </c>
      <c r="P6" s="157" t="inlineStr">
        <is>
          <t>Bid</t>
        </is>
      </c>
      <c r="Q6" s="157" t="inlineStr">
        <is>
          <t>Ask</t>
        </is>
      </c>
      <c r="R6" s="157" t="inlineStr">
        <is>
          <t>Gap</t>
        </is>
      </c>
      <c r="S6" s="157" t="inlineStr">
        <is>
          <t>High</t>
        </is>
      </c>
      <c r="T6" s="158" t="inlineStr">
        <is>
          <t>Low</t>
        </is>
      </c>
      <c r="U6" s="160" t="n"/>
      <c r="V6" s="160" t="n"/>
    </row>
    <row r="7" ht="55.5" customHeight="1" s="144">
      <c r="A7" s="145" t="n"/>
      <c r="B7" s="153" t="inlineStr">
        <is>
          <t>HOV6</t>
        </is>
      </c>
      <c r="C7" s="155" t="n"/>
      <c r="D7" s="161" t="n"/>
      <c r="E7" s="161" t="n"/>
      <c r="F7" s="162" t="inlineStr">
        <is>
          <t>HOV26
HO Oct 26</t>
        </is>
      </c>
      <c r="G7" s="163" t="inlineStr">
        <is>
          <t>HO Oct 26</t>
        </is>
      </c>
      <c r="H7" s="164" t="n"/>
      <c r="I7" s="165" t="n"/>
      <c r="J7" s="166" t="n"/>
      <c r="K7" s="167" t="n"/>
      <c r="L7" s="168" t="n"/>
      <c r="M7" s="169" t="n"/>
      <c r="N7" s="162" t="inlineStr">
        <is>
          <t>BZV26
BZ Oct 26</t>
        </is>
      </c>
      <c r="O7" s="163" t="inlineStr">
        <is>
          <t>BZ Oct 26</t>
        </is>
      </c>
      <c r="P7" s="164" t="n"/>
      <c r="Q7" s="164" t="n"/>
      <c r="R7" s="170" t="n"/>
      <c r="S7" s="167" t="n"/>
      <c r="T7" s="168" t="n"/>
      <c r="U7" s="160" t="n"/>
      <c r="V7" s="160" t="n"/>
    </row>
    <row r="8" ht="55.5" customHeight="1" s="144">
      <c r="A8" s="145" t="n"/>
      <c r="B8" s="153" t="inlineStr">
        <is>
          <t>BZV6</t>
        </is>
      </c>
      <c r="C8" s="155" t="n"/>
      <c r="D8" s="161" t="n"/>
      <c r="E8" s="161" t="n"/>
      <c r="F8" s="171" t="inlineStr">
        <is>
          <t>CLV26
CL Oct 26</t>
        </is>
      </c>
      <c r="G8" s="172" t="inlineStr">
        <is>
          <t>CL Oct 26</t>
        </is>
      </c>
      <c r="H8" s="173" t="n"/>
      <c r="I8" s="173" t="n"/>
      <c r="J8" s="174" t="n"/>
      <c r="K8" s="175" t="n"/>
      <c r="L8" s="176" t="n"/>
      <c r="M8" s="169" t="n"/>
      <c r="N8" s="171" t="inlineStr">
        <is>
          <t>CLV26
CL Oct 26</t>
        </is>
      </c>
      <c r="O8" s="172" t="inlineStr">
        <is>
          <t>CL Oct 26</t>
        </is>
      </c>
      <c r="P8" s="173" t="n"/>
      <c r="Q8" s="173" t="n"/>
      <c r="R8" s="174" t="n"/>
      <c r="S8" s="175" t="n"/>
      <c r="T8" s="176" t="n"/>
      <c r="U8" s="160" t="n"/>
      <c r="V8" s="160" t="n"/>
    </row>
    <row r="9" ht="55.5" customHeight="1" s="144">
      <c r="A9" s="145" t="n"/>
      <c r="B9" s="153" t="inlineStr">
        <is>
          <t>CLV6</t>
        </is>
      </c>
      <c r="C9" s="155" t="n"/>
      <c r="D9" s="161" t="n"/>
      <c r="E9" s="161" t="n"/>
      <c r="F9" s="177" t="inlineStr">
        <is>
          <t>HO | CL Oct 26 Crack</t>
        </is>
      </c>
      <c r="G9" s="178" t="n"/>
      <c r="H9" s="179" t="n"/>
      <c r="I9" s="179" t="n"/>
      <c r="J9" s="180" t="n"/>
      <c r="K9" s="179" t="n"/>
      <c r="L9" s="181" t="n"/>
      <c r="M9" s="169" t="n"/>
      <c r="N9" s="182" t="inlineStr">
        <is>
          <t>BZ - CL</t>
        </is>
      </c>
      <c r="O9" s="183" t="n"/>
      <c r="P9" s="179" t="n"/>
      <c r="Q9" s="179" t="n"/>
      <c r="R9" s="180" t="n"/>
      <c r="S9" s="179" t="n"/>
      <c r="T9" s="181" t="n"/>
      <c r="U9" s="160" t="n"/>
      <c r="V9" s="160" t="n"/>
    </row>
    <row r="10" ht="36" customHeight="1" s="144">
      <c r="A10" s="145" t="n"/>
      <c r="B10" s="184" t="inlineStr">
        <is>
          <t>CL Oct26 - BZ Oct26 Inter-Product</t>
        </is>
      </c>
      <c r="C10" s="155" t="n"/>
      <c r="D10" s="161" t="n"/>
      <c r="E10" s="161" t="n"/>
      <c r="F10" s="169" t="n"/>
      <c r="G10" s="169" t="n"/>
      <c r="H10" s="169" t="n"/>
      <c r="I10" s="169" t="n"/>
      <c r="J10" s="169" t="n"/>
      <c r="K10" s="169" t="n"/>
      <c r="L10" s="169" t="n"/>
      <c r="M10" s="169" t="n"/>
      <c r="N10" s="160" t="n"/>
      <c r="O10" s="160" t="n"/>
      <c r="P10" s="160" t="n"/>
      <c r="Q10" s="160" t="n"/>
      <c r="R10" s="160" t="n"/>
      <c r="S10" s="160" t="n"/>
      <c r="T10" s="160" t="n"/>
      <c r="U10" s="160" t="n"/>
      <c r="V10" s="160" t="n"/>
    </row>
    <row r="11" ht="42" customHeight="1" s="144">
      <c r="A11" s="145" t="n"/>
      <c r="B11" s="184" t="n"/>
      <c r="C11" s="155" t="n"/>
      <c r="D11" s="161" t="n"/>
      <c r="E11" s="161" t="n"/>
      <c r="F11" s="156" t="inlineStr">
        <is>
          <t>Symbol</t>
        </is>
      </c>
      <c r="G11" s="157" t="inlineStr">
        <is>
          <t>Contract</t>
        </is>
      </c>
      <c r="H11" s="157" t="inlineStr">
        <is>
          <t>Bid</t>
        </is>
      </c>
      <c r="I11" s="157" t="inlineStr">
        <is>
          <t>Ask</t>
        </is>
      </c>
      <c r="J11" s="157" t="inlineStr">
        <is>
          <t>Gap</t>
        </is>
      </c>
      <c r="K11" s="157" t="inlineStr">
        <is>
          <t>High</t>
        </is>
      </c>
      <c r="L11" s="158" t="inlineStr">
        <is>
          <t>Low</t>
        </is>
      </c>
      <c r="M11" s="169" t="n"/>
      <c r="N11" s="185" t="n"/>
      <c r="O11" s="186" t="n"/>
      <c r="P11" s="187" t="n"/>
      <c r="Q11" s="187" t="n"/>
      <c r="R11" s="174" t="n"/>
      <c r="S11" s="188" t="n"/>
      <c r="T11" s="188" t="n"/>
      <c r="U11" s="160" t="n"/>
      <c r="V11" s="160" t="n"/>
    </row>
    <row r="12" ht="50.25" customHeight="1" s="144">
      <c r="A12" s="145" t="n"/>
      <c r="B12" s="184" t="inlineStr">
        <is>
          <t>Oct26 HO-CL Crack</t>
        </is>
      </c>
      <c r="C12" s="155" t="n"/>
      <c r="D12" s="161" t="n"/>
      <c r="E12" s="161" t="n"/>
      <c r="F12" s="189" t="inlineStr">
        <is>
          <t>RBV26</t>
        </is>
      </c>
      <c r="G12" s="163" t="inlineStr">
        <is>
          <t>RB Oct 26</t>
        </is>
      </c>
      <c r="H12" s="164" t="n"/>
      <c r="I12" s="164" t="n"/>
      <c r="J12" s="166" t="n"/>
      <c r="K12" s="167" t="n"/>
      <c r="L12" s="168" t="n"/>
      <c r="M12" s="169" t="n"/>
      <c r="N12" s="169" t="n"/>
      <c r="O12" s="169" t="n"/>
      <c r="P12" s="169" t="n"/>
      <c r="Q12" s="169" t="n"/>
      <c r="R12" s="169" t="n"/>
      <c r="S12" s="190" t="n"/>
      <c r="T12" s="190" t="n"/>
      <c r="U12" s="160" t="n"/>
      <c r="V12" s="160" t="n"/>
    </row>
    <row r="13" ht="50.25" customHeight="1" s="144">
      <c r="A13" s="145" t="n"/>
      <c r="D13" s="161" t="n"/>
      <c r="E13" s="161" t="n"/>
      <c r="F13" s="191" t="inlineStr">
        <is>
          <t>HOV26</t>
        </is>
      </c>
      <c r="G13" s="172" t="inlineStr">
        <is>
          <t>HO Oct 26</t>
        </is>
      </c>
      <c r="H13" s="173" t="n"/>
      <c r="I13" s="173" t="n"/>
      <c r="J13" s="192" t="n"/>
      <c r="K13" s="175" t="n"/>
      <c r="L13" s="176" t="n"/>
      <c r="M13" s="169" t="n"/>
      <c r="N13" s="193" t="n"/>
      <c r="O13" s="193" t="n"/>
      <c r="P13" s="193" t="n"/>
      <c r="Q13" s="193" t="n"/>
      <c r="R13" s="193" t="n"/>
      <c r="S13" s="193" t="n"/>
      <c r="T13" s="193" t="n"/>
      <c r="U13" s="160" t="n"/>
      <c r="V13" s="160" t="n"/>
    </row>
    <row r="14" ht="50.25" customHeight="1" s="144">
      <c r="A14" s="145" t="n"/>
      <c r="D14" s="161" t="n"/>
      <c r="E14" s="161" t="n"/>
      <c r="F14" s="189" t="inlineStr">
        <is>
          <t>CLV26</t>
        </is>
      </c>
      <c r="G14" s="163" t="inlineStr">
        <is>
          <t>CL Oct 26</t>
        </is>
      </c>
      <c r="H14" s="164" t="n"/>
      <c r="I14" s="164" t="n"/>
      <c r="J14" s="170" t="n"/>
      <c r="K14" s="167" t="n"/>
      <c r="L14" s="168" t="n"/>
      <c r="M14" s="169" t="n"/>
      <c r="N14" s="194" t="n"/>
      <c r="O14" s="195" t="n"/>
      <c r="P14" s="196" t="n"/>
      <c r="Q14" s="196" t="n"/>
      <c r="R14" s="197" t="n"/>
      <c r="S14" s="198" t="n"/>
      <c r="T14" s="198" t="n"/>
      <c r="U14" s="160" t="n"/>
      <c r="V14" s="160" t="n"/>
    </row>
    <row r="15" ht="50.25" customHeight="1" s="144">
      <c r="A15" s="145" t="n"/>
      <c r="D15" s="161" t="n"/>
      <c r="E15" s="161" t="n"/>
      <c r="F15" s="199" t="inlineStr">
        <is>
          <t>3:2:1</t>
        </is>
      </c>
      <c r="G15" s="200" t="n"/>
      <c r="H15" s="201" t="n"/>
      <c r="I15" s="201" t="n"/>
      <c r="J15" s="202" t="n"/>
      <c r="K15" s="201" t="n"/>
      <c r="L15" s="203" t="n"/>
      <c r="M15" s="169" t="n"/>
      <c r="N15" s="194" t="n"/>
      <c r="O15" s="195" t="n"/>
      <c r="P15" s="196" t="n"/>
      <c r="Q15" s="196" t="n"/>
      <c r="R15" s="197" t="n"/>
      <c r="S15" s="198" t="n"/>
      <c r="T15" s="198" t="n"/>
      <c r="U15" s="160" t="n"/>
      <c r="V15" s="160" t="n"/>
    </row>
    <row r="16" ht="42" customHeight="1" s="144">
      <c r="A16" s="145" t="n"/>
      <c r="D16" s="161" t="n"/>
      <c r="E16" s="161" t="n"/>
      <c r="F16" s="204" t="n"/>
      <c r="G16" s="205" t="n"/>
      <c r="H16" s="205" t="n"/>
      <c r="I16" s="205" t="n"/>
      <c r="J16" s="205" t="n"/>
      <c r="K16" s="205" t="n"/>
      <c r="L16" s="205" t="n"/>
      <c r="M16" s="205" t="n"/>
      <c r="S16" s="206" t="n"/>
      <c r="T16" s="206" t="n"/>
    </row>
    <row r="17" ht="44.25" customHeight="1" s="144">
      <c r="A17" s="145" t="n"/>
      <c r="F17" s="207" t="inlineStr">
        <is>
          <t>Z-SCORE MONITOR      z is for ENTRIES only - exits act on money, never on z.      The chime fires on the CROSSING of ENTRY_Z, once.</t>
        </is>
      </c>
    </row>
    <row r="18" ht="23.25" customHeight="1" s="144">
      <c r="A18" s="145" t="n"/>
      <c r="F18" s="208" t="inlineStr">
        <is>
          <t>Spread</t>
        </is>
      </c>
      <c r="H18" s="208" t="inlineStr">
        <is>
          <t>Z-score</t>
        </is>
      </c>
      <c r="I18" s="208" t="inlineStr">
        <is>
          <t>Mean</t>
        </is>
      </c>
      <c r="J18" s="208" t="inlineStr">
        <is>
          <t>Std Dev</t>
        </is>
      </c>
      <c r="K18" s="208" t="inlineStr">
        <is>
          <t>Signal</t>
        </is>
      </c>
      <c r="L18" s="208" t="inlineStr">
        <is>
          <t>Window</t>
        </is>
      </c>
      <c r="N18" s="208" t="inlineStr">
        <is>
          <t>Entry</t>
        </is>
      </c>
      <c r="P18" s="208" t="inlineStr">
        <is>
          <t>Costs $</t>
        </is>
      </c>
      <c r="Q18" s="208" t="inlineStr">
        <is>
          <t>Win $</t>
        </is>
      </c>
      <c r="R18" s="208" t="inlineStr">
        <is>
          <t>TAKE PROFIT</t>
        </is>
      </c>
      <c r="S18" s="208" t="inlineStr">
        <is>
          <t>TP in sigma</t>
        </is>
      </c>
    </row>
    <row r="19" ht="50.25" customHeight="1" s="144">
      <c r="A19" s="145" t="n"/>
      <c r="F19" s="209" t="inlineStr">
        <is>
          <t>HO | CL Crack</t>
        </is>
      </c>
      <c r="H19" s="210" t="n"/>
      <c r="I19" s="211" t="n"/>
      <c r="J19" s="211" t="n"/>
      <c r="K19" s="212" t="n"/>
      <c r="L19" s="212" t="n"/>
      <c r="N19" s="213" t="n"/>
      <c r="P19" s="214" t="n"/>
      <c r="Q19" s="214" t="n"/>
      <c r="R19" s="215" t="n"/>
      <c r="S19" s="216" t="n"/>
    </row>
    <row r="20" ht="50.25" customHeight="1" s="144">
      <c r="A20" s="145" t="n"/>
      <c r="F20" s="209" t="inlineStr">
        <is>
          <t>BZ - CL</t>
        </is>
      </c>
      <c r="H20" s="210" t="n"/>
      <c r="I20" s="211" t="n"/>
      <c r="J20" s="211" t="n"/>
      <c r="K20" s="212" t="n"/>
      <c r="L20" s="212" t="n"/>
      <c r="N20" s="213" t="n"/>
      <c r="P20" s="214" t="n"/>
      <c r="Q20" s="214" t="n"/>
      <c r="R20" s="215" t="n"/>
      <c r="S20" s="216" t="n"/>
    </row>
    <row r="21" ht="50.25" customHeight="1" s="144">
      <c r="A21" s="145" t="n"/>
      <c r="F21" s="217" t="inlineStr">
        <is>
          <t>3:2:1</t>
        </is>
      </c>
      <c r="H21" s="218" t="n"/>
      <c r="I21" s="219" t="n"/>
      <c r="J21" s="219" t="n"/>
      <c r="K21" s="220" t="n"/>
      <c r="L21" s="220" t="n"/>
      <c r="N21" s="221" t="n"/>
      <c r="P21" s="222" t="n"/>
      <c r="Q21" s="222" t="n"/>
      <c r="R21" s="223" t="n"/>
      <c r="S21" s="224" t="n"/>
    </row>
    <row r="22" ht="36" customHeight="1" s="144">
      <c r="A22" s="145" t="n"/>
      <c r="F22" s="225" t="n"/>
      <c r="G22" s="226" t="n"/>
      <c r="H22" s="226" t="n"/>
      <c r="I22" s="226" t="n"/>
      <c r="J22" s="226" t="n"/>
    </row>
    <row r="23" ht="36" customHeight="1" s="144">
      <c r="A23" s="145" t="n"/>
      <c r="F23" s="227" t="inlineStr">
        <is>
          <t>STOPPED</t>
        </is>
      </c>
      <c r="G23" s="226" t="n"/>
      <c r="H23" s="228" t="inlineStr">
        <is>
          <t>-</t>
        </is>
      </c>
      <c r="I23" s="226" t="n"/>
      <c r="J23" s="226" t="n"/>
      <c r="N23" s="229" t="inlineStr">
        <is>
          <t xml:space="preserve">  &gt;  START  </t>
        </is>
      </c>
      <c r="P23" s="230" t="inlineStr">
        <is>
          <t xml:space="preserve">  #  STOP  </t>
        </is>
      </c>
      <c r="R23" s="231" t="inlineStr">
        <is>
          <t xml:space="preserve">  TEST CHIME  </t>
        </is>
      </c>
    </row>
    <row r="24" ht="36" customHeight="1" s="144">
      <c r="A24" s="145" t="n"/>
      <c r="F24" s="225" t="n"/>
      <c r="G24" s="226" t="n"/>
      <c r="H24" s="226" t="n"/>
      <c r="I24" s="226" t="n"/>
      <c r="J24" s="226" t="n"/>
    </row>
    <row r="25" ht="15" customHeight="1" s="144">
      <c r="A25" s="145" t="n"/>
    </row>
    <row r="26" ht="39.75" customHeight="1" s="144">
      <c r="A26" s="145" t="n"/>
    </row>
    <row r="27" ht="15" customHeight="1" s="144">
      <c r="A27" s="145" t="n"/>
    </row>
    <row r="28" ht="15" customHeight="1" s="144">
      <c r="A28" s="145" t="n"/>
    </row>
    <row r="29" ht="36" customHeight="1" s="144">
      <c r="A29" s="145" t="n"/>
      <c r="F29" s="225" t="n"/>
      <c r="G29" s="226" t="n"/>
      <c r="H29" s="226" t="n"/>
      <c r="I29" s="226" t="n"/>
      <c r="J29" s="226" t="n"/>
    </row>
    <row r="30" ht="36" customHeight="1" s="144">
      <c r="A30" s="145" t="n"/>
      <c r="F30" s="225" t="n"/>
      <c r="G30" s="226" t="n"/>
      <c r="H30" s="226" t="n"/>
      <c r="I30" s="226" t="n"/>
      <c r="J30" s="226" t="n"/>
    </row>
    <row r="31" ht="36" customHeight="1" s="144">
      <c r="A31" s="145" t="n"/>
      <c r="F31" s="225" t="n"/>
      <c r="G31" s="226" t="n"/>
      <c r="H31" s="226" t="n"/>
      <c r="I31" s="226" t="n"/>
      <c r="J31" s="226" t="n"/>
    </row>
    <row r="32" ht="36" customHeight="1" s="144">
      <c r="A32" s="145" t="n"/>
      <c r="F32" s="225" t="n"/>
      <c r="G32" s="226" t="n"/>
      <c r="H32" s="226" t="n"/>
      <c r="I32" s="226" t="n"/>
      <c r="J32" s="226" t="n"/>
    </row>
    <row r="33" ht="36" customHeight="1" s="144">
      <c r="A33" s="145" t="n"/>
      <c r="F33" s="225" t="n"/>
      <c r="G33" s="226" t="n"/>
      <c r="H33" s="226" t="n"/>
      <c r="I33" s="226" t="n"/>
      <c r="J33" s="226" t="n"/>
    </row>
    <row r="34" ht="36" customHeight="1" s="144">
      <c r="A34" s="145" t="n"/>
      <c r="F34" s="225" t="n"/>
      <c r="G34" s="226" t="n"/>
      <c r="H34" s="226" t="n"/>
      <c r="I34" s="226" t="n"/>
      <c r="J34" s="226" t="n"/>
    </row>
    <row r="35" ht="36" customHeight="1" s="144">
      <c r="A35" s="145" t="n"/>
      <c r="F35" s="225" t="n"/>
      <c r="G35" s="226" t="n"/>
      <c r="H35" s="226" t="n"/>
      <c r="I35" s="226" t="n"/>
      <c r="J35" s="226" t="n"/>
    </row>
    <row r="36" ht="36" customHeight="1" s="144">
      <c r="A36" s="145" t="n"/>
      <c r="F36" s="225" t="n"/>
      <c r="G36" s="226" t="n"/>
      <c r="H36" s="226" t="n"/>
      <c r="I36" s="226" t="n"/>
      <c r="J36" s="226" t="n"/>
    </row>
    <row r="37" ht="36" customHeight="1" s="144">
      <c r="A37" s="145" t="n"/>
      <c r="F37" s="225" t="n"/>
      <c r="G37" s="226" t="n"/>
      <c r="H37" s="226" t="n"/>
      <c r="I37" s="226" t="n"/>
      <c r="J37" s="226" t="n"/>
    </row>
    <row r="38" ht="36" customHeight="1" s="144">
      <c r="A38" s="145" t="n"/>
      <c r="F38" s="225" t="n"/>
      <c r="G38" s="226" t="n"/>
      <c r="H38" s="226" t="n"/>
      <c r="I38" s="226" t="n"/>
      <c r="J38" s="226" t="n"/>
    </row>
    <row r="39" ht="36" customHeight="1" s="144">
      <c r="A39" s="145" t="n"/>
      <c r="F39" s="225" t="n"/>
      <c r="G39" s="226" t="n"/>
      <c r="H39" s="226" t="n"/>
      <c r="I39" s="226" t="n"/>
      <c r="J39" s="226" t="n"/>
    </row>
    <row r="40" ht="36" customHeight="1" s="144">
      <c r="F40" s="225" t="n"/>
      <c r="G40" s="226" t="n"/>
      <c r="H40" s="226" t="n"/>
      <c r="I40" s="226" t="n"/>
      <c r="J40" s="226" t="n"/>
    </row>
    <row r="41" ht="36" customHeight="1" s="144">
      <c r="F41" s="225" t="n"/>
      <c r="G41" s="226" t="n"/>
      <c r="H41" s="226" t="n"/>
      <c r="I41" s="226" t="n"/>
      <c r="J41" s="226" t="n"/>
    </row>
    <row r="42" ht="36" customHeight="1" s="144">
      <c r="F42" s="225" t="n"/>
      <c r="G42" s="226" t="n"/>
      <c r="H42" s="226" t="n"/>
      <c r="I42" s="226" t="n"/>
      <c r="J42" s="226" t="n"/>
    </row>
    <row r="43" ht="36" customHeight="1" s="144">
      <c r="F43" s="225" t="n"/>
      <c r="G43" s="226" t="n"/>
      <c r="H43" s="226" t="n"/>
      <c r="I43" s="226" t="n"/>
      <c r="J43" s="226" t="n"/>
    </row>
    <row r="44" ht="36" customHeight="1" s="144">
      <c r="F44" s="225" t="n"/>
      <c r="G44" s="226" t="n"/>
      <c r="H44" s="226" t="n"/>
      <c r="I44" s="226" t="n"/>
      <c r="J44" s="226" t="n"/>
    </row>
    <row r="45" ht="36" customHeight="1" s="144">
      <c r="F45" s="225" t="n"/>
      <c r="G45" s="226" t="n"/>
      <c r="H45" s="226" t="n"/>
      <c r="I45" s="226" t="n"/>
      <c r="J45" s="226" t="n"/>
    </row>
    <row r="46" ht="36" customHeight="1" s="144">
      <c r="F46" s="225" t="n"/>
      <c r="G46" s="226" t="n"/>
      <c r="H46" s="226" t="n"/>
      <c r="I46" s="226" t="n"/>
      <c r="J46" s="226" t="n"/>
    </row>
    <row r="47" ht="36" customHeight="1" s="144">
      <c r="F47" s="225" t="n"/>
      <c r="G47" s="226" t="n"/>
      <c r="H47" s="226" t="n"/>
      <c r="I47" s="226" t="n"/>
      <c r="J47" s="226" t="n"/>
    </row>
    <row r="48" ht="36" customHeight="1" s="144">
      <c r="F48" s="225" t="n"/>
      <c r="G48" s="226" t="n"/>
      <c r="H48" s="226" t="n"/>
      <c r="I48" s="226" t="n"/>
      <c r="J48" s="226" t="n"/>
    </row>
    <row r="49" ht="36" customHeight="1" s="144">
      <c r="F49" s="225" t="n"/>
      <c r="G49" s="226" t="n"/>
      <c r="H49" s="226" t="n"/>
      <c r="I49" s="226" t="n"/>
      <c r="J49" s="226" t="n"/>
    </row>
    <row r="50" ht="36" customHeight="1" s="144">
      <c r="F50" s="225" t="n"/>
      <c r="G50" s="226" t="n"/>
      <c r="H50" s="226" t="n"/>
      <c r="I50" s="226" t="n"/>
      <c r="J50" s="226" t="n"/>
    </row>
    <row r="51" ht="36" customHeight="1" s="144">
      <c r="F51" s="225" t="n"/>
      <c r="G51" s="226" t="n"/>
      <c r="H51" s="226" t="n"/>
      <c r="I51" s="226" t="n"/>
      <c r="J51" s="226" t="n"/>
    </row>
  </sheetData>
  <mergeCells count="4">
    <mergeCell ref="F15:G15"/>
    <mergeCell ref="B2:B3"/>
    <mergeCell ref="C2:T2"/>
    <mergeCell ref="F17:T17"/>
  </mergeCells>
  <conditionalFormatting sqref="H19">
    <cfRule type="expression" rank="0" priority="2" equalAverage="0" aboveAverage="0" dxfId="0" text="" percent="0" bottom="0">
      <formula>OR($K$19="NO USABLE Z",$K$19="STALE FEED")</formula>
    </cfRule>
    <cfRule type="expression" rank="0" priority="3" equalAverage="0" aboveAverage="0" dxfId="1" text="" percent="0" bottom="0">
      <formula>$K$19="WARMING UP"</formula>
    </cfRule>
    <cfRule type="expression" rank="0" priority="4" equalAverage="0" aboveAverage="0" dxfId="2" text="" percent="0" bottom="0">
      <formula>$K$19="ABOVE CEILING"</formula>
    </cfRule>
    <cfRule type="expression" rank="0" priority="5" equalAverage="0" aboveAverage="0" dxfId="3" text="" percent="0" bottom="0">
      <formula>$K$19="ENTRY BAND"</formula>
    </cfRule>
  </conditionalFormatting>
  <conditionalFormatting sqref="K19">
    <cfRule type="expression" rank="0" priority="6" equalAverage="0" aboveAverage="0" dxfId="0" text="" percent="0" bottom="0">
      <formula>OR($K$19="NO USABLE Z",$K$19="STALE FEED")</formula>
    </cfRule>
    <cfRule type="expression" rank="0" priority="7" equalAverage="0" aboveAverage="0" dxfId="1" text="" percent="0" bottom="0">
      <formula>$K$19="WARMING UP"</formula>
    </cfRule>
    <cfRule type="expression" rank="0" priority="8" equalAverage="0" aboveAverage="0" dxfId="2" text="" percent="0" bottom="0">
      <formula>$K$19="ABOVE CEILING"</formula>
    </cfRule>
    <cfRule type="expression" rank="0" priority="9" equalAverage="0" aboveAverage="0" dxfId="3" text="" percent="0" bottom="0">
      <formula>$K$19="ENTRY BAND"</formula>
    </cfRule>
  </conditionalFormatting>
  <conditionalFormatting sqref="S19">
    <cfRule type="expression" rank="0" priority="10" equalAverage="0" aboveAverage="0" dxfId="2" text="" percent="0" bottom="0">
      <formula>AND(ISNUMBER($S$19),ISNUMBER($H$19),$S$19&gt;ABS($H$19))</formula>
    </cfRule>
  </conditionalFormatting>
  <conditionalFormatting sqref="H20">
    <cfRule type="expression" rank="0" priority="11" equalAverage="0" aboveAverage="0" dxfId="0" text="" percent="0" bottom="0">
      <formula>OR($K$20="NO USABLE Z",$K$20="STALE FEED")</formula>
    </cfRule>
    <cfRule type="expression" rank="0" priority="12" equalAverage="0" aboveAverage="0" dxfId="1" text="" percent="0" bottom="0">
      <formula>$K$20="WARMING UP"</formula>
    </cfRule>
    <cfRule type="expression" rank="0" priority="13" equalAverage="0" aboveAverage="0" dxfId="2" text="" percent="0" bottom="0">
      <formula>$K$20="ABOVE CEILING"</formula>
    </cfRule>
    <cfRule type="expression" rank="0" priority="14" equalAverage="0" aboveAverage="0" dxfId="3" text="" percent="0" bottom="0">
      <formula>$K$20="ENTRY BAND"</formula>
    </cfRule>
  </conditionalFormatting>
  <conditionalFormatting sqref="K20">
    <cfRule type="expression" rank="0" priority="15" equalAverage="0" aboveAverage="0" dxfId="0" text="" percent="0" bottom="0">
      <formula>OR($K$20="NO USABLE Z",$K$20="STALE FEED")</formula>
    </cfRule>
    <cfRule type="expression" rank="0" priority="16" equalAverage="0" aboveAverage="0" dxfId="1" text="" percent="0" bottom="0">
      <formula>$K$20="WARMING UP"</formula>
    </cfRule>
    <cfRule type="expression" rank="0" priority="17" equalAverage="0" aboveAverage="0" dxfId="2" text="" percent="0" bottom="0">
      <formula>$K$20="ABOVE CEILING"</formula>
    </cfRule>
    <cfRule type="expression" rank="0" priority="18" equalAverage="0" aboveAverage="0" dxfId="3" text="" percent="0" bottom="0">
      <formula>$K$20="ENTRY BAND"</formula>
    </cfRule>
  </conditionalFormatting>
  <conditionalFormatting sqref="S20">
    <cfRule type="expression" rank="0" priority="19" equalAverage="0" aboveAverage="0" dxfId="2" text="" percent="0" bottom="0">
      <formula>AND(ISNUMBER($S$20),ISNUMBER($H$20),$S$20&gt;ABS($H$20))</formula>
    </cfRule>
  </conditionalFormatting>
  <conditionalFormatting sqref="H21">
    <cfRule type="expression" rank="0" priority="20" equalAverage="0" aboveAverage="0" dxfId="0" text="" percent="0" bottom="0">
      <formula>OR($K$21="NO USABLE Z",$K$21="STALE FEED")</formula>
    </cfRule>
    <cfRule type="expression" rank="0" priority="21" equalAverage="0" aboveAverage="0" dxfId="1" text="" percent="0" bottom="0">
      <formula>$K$21="WARMING UP"</formula>
    </cfRule>
    <cfRule type="expression" rank="0" priority="22" equalAverage="0" aboveAverage="0" dxfId="2" text="" percent="0" bottom="0">
      <formula>$K$21="ABOVE CEILING"</formula>
    </cfRule>
    <cfRule type="expression" rank="0" priority="23" equalAverage="0" aboveAverage="0" dxfId="3" text="" percent="0" bottom="0">
      <formula>$K$21="ENTRY BAND"</formula>
    </cfRule>
  </conditionalFormatting>
  <conditionalFormatting sqref="K21">
    <cfRule type="expression" rank="0" priority="24" equalAverage="0" aboveAverage="0" dxfId="0" text="" percent="0" bottom="0">
      <formula>OR($K$21="NO USABLE Z",$K$21="STALE FEED")</formula>
    </cfRule>
    <cfRule type="expression" rank="0" priority="25" equalAverage="0" aboveAverage="0" dxfId="1" text="" percent="0" bottom="0">
      <formula>$K$21="WARMING UP"</formula>
    </cfRule>
    <cfRule type="expression" rank="0" priority="26" equalAverage="0" aboveAverage="0" dxfId="2" text="" percent="0" bottom="0">
      <formula>$K$21="ABOVE CEILING"</formula>
    </cfRule>
    <cfRule type="expression" rank="0" priority="27" equalAverage="0" aboveAverage="0" dxfId="3" text="" percent="0" bottom="0">
      <formula>$K$21="ENTRY BAND"</formula>
    </cfRule>
  </conditionalFormatting>
  <conditionalFormatting sqref="S21">
    <cfRule type="expression" rank="0" priority="28" equalAverage="0" aboveAverage="0" dxfId="2" text="" percent="0" bottom="0">
      <formula>AND(ISNUMBER($S$21),ISNUMBER($H$21),$S$21&gt;ABS($H$21))</formula>
    </cfRule>
  </conditionalFormatting>
  <conditionalFormatting sqref="F23">
    <cfRule type="expression" rank="0" priority="29" equalAverage="0" aboveAverage="0" dxfId="3" text="" percent="0" bottom="0">
      <formula>F23="RUNNING"</formula>
    </cfRule>
  </conditionalFormatting>
  <pageMargins left="0.75" right="0.75" top="1" bottom="1" header="0.511811023622047" footer="0.511811023622047"/>
  <pageSetup orientation="landscape" scale="91" horizontalDpi="300" verticalDpi="300"/>
</worksheet>
</file>

<file path=xl/worksheets/sheet2.xml><?xml version="1.0" encoding="utf-8"?>
<worksheet xmlns="http://schemas.openxmlformats.org/spreadsheetml/2006/main">
  <sheetPr filterMode="0">
    <outlinePr summaryBelow="1" summaryRight="1"/>
    <pageSetUpPr fitToPage="1"/>
  </sheetPr>
  <dimension ref="B1:M77"/>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3" customWidth="1" style="142" min="1" max="1"/>
    <col width="32" customWidth="1" style="142" min="2" max="2"/>
    <col width="20" customWidth="1" style="142" min="3" max="3"/>
    <col width="18" customWidth="1" style="142" min="4" max="7"/>
    <col width="12" customWidth="1" style="142" min="8" max="11"/>
    <col width="14" customWidth="1" style="142" min="12" max="12"/>
    <col width="46" customWidth="1" style="142" min="13" max="13"/>
  </cols>
  <sheetData>
    <row r="1" ht="17.35" customHeight="1" s="144">
      <c r="B1" s="232" t="inlineStr">
        <is>
          <t>DETAIL   -   full breakdown behind the Dashboard</t>
        </is>
      </c>
    </row>
    <row r="2" ht="15" customHeight="1" s="144">
      <c r="B2" s="233" t="inlineStr">
        <is>
          <t>Same engine, same numbers. The Dashboard shows the three spreads you trade from; this sheet shows everything that stands behind them, for all four slots.</t>
        </is>
      </c>
    </row>
    <row r="4" ht="15" customHeight="1" s="144">
      <c r="B4" s="234" t="inlineStr">
        <is>
          <t>OUTRIGHT LEGS</t>
        </is>
      </c>
    </row>
    <row r="5" ht="15" customHeight="1" s="144">
      <c r="B5" s="235" t="inlineStr">
        <is>
          <t>Symbol</t>
        </is>
      </c>
      <c r="C5" s="235" t="inlineStr">
        <is>
          <t>Instrument ID</t>
        </is>
      </c>
      <c r="D5" s="235" t="inlineStr">
        <is>
          <t>Description</t>
        </is>
      </c>
      <c r="E5" s="235" t="inlineStr">
        <is>
          <t>Contract</t>
        </is>
      </c>
      <c r="H5" s="235" t="inlineStr">
        <is>
          <t>Bid</t>
        </is>
      </c>
      <c r="I5" s="235" t="inlineStr">
        <is>
          <t>Ask</t>
        </is>
      </c>
      <c r="J5" s="235" t="inlineStr">
        <is>
          <t>High</t>
        </is>
      </c>
      <c r="K5" s="235" t="inlineStr">
        <is>
          <t>Low</t>
        </is>
      </c>
      <c r="L5" s="235" t="inlineStr">
        <is>
          <t>Mid</t>
        </is>
      </c>
      <c r="M5" s="235" t="inlineStr">
        <is>
          <t>Gap</t>
        </is>
      </c>
    </row>
    <row r="6" ht="15" customHeight="1" s="144">
      <c r="B6" s="236" t="inlineStr">
        <is>
          <t>RBV6</t>
        </is>
      </c>
      <c r="C6" s="237" t="n"/>
      <c r="D6" s="238" t="inlineStr">
        <is>
          <t>RBOB Gasoline Oct26</t>
        </is>
      </c>
      <c r="E6" s="239" t="inlineStr">
        <is>
          <t>42,000 gal</t>
        </is>
      </c>
      <c r="H6" s="240" t="n"/>
      <c r="I6" s="240" t="n"/>
      <c r="J6" s="240" t="n"/>
      <c r="K6" s="240" t="n"/>
      <c r="L6" s="240" t="n"/>
      <c r="M6" s="240" t="n"/>
    </row>
    <row r="7" ht="15" customHeight="1" s="144">
      <c r="B7" s="236" t="inlineStr">
        <is>
          <t>HOV6</t>
        </is>
      </c>
      <c r="C7" s="237" t="n"/>
      <c r="D7" s="238" t="inlineStr">
        <is>
          <t>NY Harbor ULSD Oct26</t>
        </is>
      </c>
      <c r="E7" s="239" t="inlineStr">
        <is>
          <t>42,000 gal</t>
        </is>
      </c>
      <c r="H7" s="240" t="n"/>
      <c r="I7" s="240" t="n"/>
      <c r="J7" s="240" t="n"/>
      <c r="K7" s="240" t="n"/>
      <c r="L7" s="240" t="n"/>
      <c r="M7" s="240" t="n"/>
    </row>
    <row r="8" ht="15" customHeight="1" s="144">
      <c r="B8" s="236" t="inlineStr">
        <is>
          <t>CLV6</t>
        </is>
      </c>
      <c r="C8" s="237" t="n"/>
      <c r="D8" s="238" t="inlineStr">
        <is>
          <t>WTI Crude Oct26</t>
        </is>
      </c>
      <c r="E8" s="239" t="inlineStr">
        <is>
          <t>1,000 bbl</t>
        </is>
      </c>
      <c r="H8" s="240" t="n"/>
      <c r="I8" s="240" t="n"/>
      <c r="J8" s="240" t="n"/>
      <c r="K8" s="240" t="n"/>
      <c r="L8" s="240" t="n"/>
      <c r="M8" s="240" t="n"/>
    </row>
    <row r="9" ht="15" customHeight="1" s="144">
      <c r="B9" s="236" t="inlineStr">
        <is>
          <t>BZV6</t>
        </is>
      </c>
      <c r="C9" s="237" t="n"/>
      <c r="D9" s="238" t="inlineStr">
        <is>
          <t>Brent Last Day Fin Oct26</t>
        </is>
      </c>
      <c r="E9" s="239" t="inlineStr">
        <is>
          <t>1,000 bbl</t>
        </is>
      </c>
      <c r="H9" s="240" t="n"/>
      <c r="I9" s="240" t="n"/>
      <c r="J9" s="240" t="n"/>
      <c r="K9" s="240" t="n"/>
      <c r="L9" s="240" t="n"/>
      <c r="M9" s="240" t="n"/>
    </row>
    <row r="11" ht="15" customHeight="1" s="144">
      <c r="B11" s="234" t="inlineStr">
        <is>
          <t>DERIVED &amp; LISTED SPREADS</t>
        </is>
      </c>
    </row>
    <row r="12" ht="15" customHeight="1" s="144">
      <c r="B12" s="235" t="inlineStr">
        <is>
          <t>Spread</t>
        </is>
      </c>
      <c r="C12" s="235" t="inlineStr">
        <is>
          <t>Basis</t>
        </is>
      </c>
      <c r="D12" s="235" t="inlineStr">
        <is>
          <t>Crossing convention</t>
        </is>
      </c>
      <c r="H12" s="235" t="inlineStr">
        <is>
          <t>Bid</t>
        </is>
      </c>
      <c r="I12" s="235" t="inlineStr">
        <is>
          <t>Ask</t>
        </is>
      </c>
      <c r="L12" s="235" t="inlineStr">
        <is>
          <t>Mid</t>
        </is>
      </c>
      <c r="M12" s="235" t="inlineStr">
        <is>
          <t>Gap</t>
        </is>
      </c>
    </row>
    <row r="13" ht="15" customHeight="1" s="144">
      <c r="B13" s="236" t="inlineStr">
        <is>
          <t>BZ - CL</t>
        </is>
      </c>
      <c r="C13" s="239" t="inlineStr">
        <is>
          <t>legged</t>
        </is>
      </c>
      <c r="D13" s="241" t="inlineStr">
        <is>
          <t>bid = BZ bid - CL ask ; ask = BZ ask - CL bid</t>
        </is>
      </c>
      <c r="H13" s="240" t="n"/>
      <c r="I13" s="240" t="n"/>
      <c r="L13" s="240" t="n"/>
      <c r="M13" s="240" t="n"/>
    </row>
    <row r="14" ht="15" customHeight="1" s="144">
      <c r="B14" s="236" t="inlineStr">
        <is>
          <t>HO/CL crack</t>
        </is>
      </c>
      <c r="C14" s="239" t="inlineStr">
        <is>
          <t>legged</t>
        </is>
      </c>
      <c r="D14" s="241" t="inlineStr">
        <is>
          <t>bid = HO bid x42 - CL ask ; ask = HO ask x42 - CL bid</t>
        </is>
      </c>
      <c r="H14" s="240" t="n"/>
      <c r="I14" s="240" t="n"/>
      <c r="L14" s="240" t="n"/>
      <c r="M14" s="240" t="n"/>
    </row>
    <row r="15" ht="15" customHeight="1" s="144">
      <c r="B15" s="236" t="inlineStr">
        <is>
          <t>3:2:1 crack</t>
        </is>
      </c>
      <c r="C15" s="239" t="inlineStr">
        <is>
          <t>legged</t>
        </is>
      </c>
      <c r="D15" s="241" t="inlineStr">
        <is>
          <t>bid sells products at the bid and buys crude at the ask; ask mirrors it</t>
        </is>
      </c>
      <c r="H15" s="240" t="n"/>
      <c r="I15" s="240" t="n"/>
      <c r="L15" s="240" t="n"/>
      <c r="M15" s="240" t="n"/>
    </row>
    <row r="16" ht="15" customHeight="1" s="144">
      <c r="B16" s="236" t="inlineStr">
        <is>
          <t>CL Oct26 - BZ Oct26 Inter-Product</t>
        </is>
      </c>
      <c r="C16" s="239" t="inlineStr">
        <is>
          <t>listed</t>
        </is>
      </c>
      <c r="D16" s="241" t="inlineStr">
        <is>
          <t>exchange-listed - one quote, no leg risk</t>
        </is>
      </c>
      <c r="H16" s="240" t="n"/>
      <c r="I16" s="240" t="n"/>
      <c r="L16" s="240" t="n"/>
      <c r="M16" s="240" t="n"/>
    </row>
    <row r="17" ht="15" customHeight="1" s="144">
      <c r="B17" s="236" t="inlineStr">
        <is>
          <t>Oct26 HO-CL Crack</t>
        </is>
      </c>
      <c r="C17" s="239" t="inlineStr">
        <is>
          <t>listed</t>
        </is>
      </c>
      <c r="D17" s="241" t="inlineStr">
        <is>
          <t>exchange-listed - one quote, no leg risk</t>
        </is>
      </c>
      <c r="H17" s="240" t="n"/>
      <c r="I17" s="240" t="n"/>
      <c r="L17" s="240" t="n"/>
      <c r="M17" s="240" t="n"/>
    </row>
    <row r="19" ht="15" customHeight="1" s="144">
      <c r="B19" s="234" t="inlineStr">
        <is>
          <t>PER-SPREAD BREAKDOWN</t>
        </is>
      </c>
    </row>
    <row r="20" ht="15" customHeight="1" s="144">
      <c r="B20" s="235" t="inlineStr">
        <is>
          <t>Metric</t>
        </is>
      </c>
      <c r="C20" s="235" t="inlineStr">
        <is>
          <t>Unit / note</t>
        </is>
      </c>
      <c r="D20" s="235" t="inlineStr">
        <is>
          <t>SPREAD 1</t>
        </is>
      </c>
      <c r="E20" s="235" t="inlineStr">
        <is>
          <t>SPREAD 2</t>
        </is>
      </c>
      <c r="F20" s="235" t="inlineStr">
        <is>
          <t>SPREAD 3</t>
        </is>
      </c>
      <c r="G20" s="235" t="inlineStr">
        <is>
          <t>SPREAD 4</t>
        </is>
      </c>
    </row>
    <row r="21" ht="15" customHeight="1" s="144">
      <c r="B21" s="242" t="inlineStr">
        <is>
          <t>Spread</t>
        </is>
      </c>
      <c r="C21" s="241" t="n"/>
      <c r="D21" s="243" t="n"/>
      <c r="E21" s="243" t="n"/>
      <c r="F21" s="243" t="n"/>
      <c r="G21" s="243" t="n"/>
    </row>
    <row r="22" ht="15" customHeight="1" s="144">
      <c r="B22" s="242" t="inlineStr">
        <is>
          <t>Definition</t>
        </is>
      </c>
      <c r="C22" s="241" t="inlineStr">
        <is>
          <t>LegB - beta x LegA</t>
        </is>
      </c>
      <c r="D22" s="243" t="n"/>
      <c r="E22" s="243" t="n"/>
      <c r="F22" s="243" t="n"/>
      <c r="G22" s="243" t="n"/>
    </row>
    <row r="23" ht="15" customHeight="1" s="144">
      <c r="B23" s="242" t="inlineStr">
        <is>
          <t>Mode</t>
        </is>
      </c>
      <c r="C23" s="241" t="n"/>
      <c r="D23" s="243" t="n"/>
      <c r="E23" s="243" t="n"/>
      <c r="F23" s="243" t="n"/>
      <c r="G23" s="243" t="n"/>
    </row>
    <row r="24" ht="15" customHeight="1" s="144">
      <c r="B24" s="242" t="inlineStr">
        <is>
          <t>HEDGE_RATIO (beta)</t>
        </is>
      </c>
      <c r="C24" s="241" t="inlineStr">
        <is>
          <t>stamped pair -&gt;</t>
        </is>
      </c>
      <c r="D24" s="243" t="n"/>
      <c r="E24" s="243" t="n"/>
      <c r="F24" s="243" t="n"/>
      <c r="G24" s="243" t="n"/>
    </row>
    <row r="25" ht="15" customHeight="1" s="144">
      <c r="B25" s="242" t="inlineStr">
        <is>
          <t>USD per 1.00 of spread</t>
        </is>
      </c>
      <c r="C25" s="241" t="inlineStr">
        <is>
          <t>per lot</t>
        </is>
      </c>
      <c r="D25" s="244" t="n"/>
      <c r="E25" s="244" t="n"/>
      <c r="F25" s="244" t="n"/>
      <c r="G25" s="244" t="n"/>
    </row>
    <row r="26" ht="15" customHeight="1" s="144">
      <c r="B26" s="245" t="inlineStr">
        <is>
          <t>MARKET  (touch, shown separately from the statistic)</t>
        </is>
      </c>
      <c r="C26" s="246" t="n"/>
      <c r="D26" s="246" t="n"/>
      <c r="E26" s="246" t="n"/>
      <c r="F26" s="246" t="n"/>
      <c r="G26" s="246" t="n"/>
    </row>
    <row r="27" ht="15" customHeight="1" s="144">
      <c r="B27" s="242" t="inlineStr">
        <is>
          <t>Spread bid</t>
        </is>
      </c>
      <c r="C27" s="241" t="n"/>
      <c r="D27" s="240" t="n"/>
      <c r="E27" s="240" t="n"/>
      <c r="F27" s="240" t="n"/>
      <c r="G27" s="240" t="n"/>
    </row>
    <row r="28" ht="15" customHeight="1" s="144">
      <c r="B28" s="242" t="inlineStr">
        <is>
          <t>Spread ask</t>
        </is>
      </c>
      <c r="C28" s="241" t="n"/>
      <c r="D28" s="240" t="n"/>
      <c r="E28" s="240" t="n"/>
      <c r="F28" s="240" t="n"/>
      <c r="G28" s="240" t="n"/>
    </row>
    <row r="29" ht="15" customHeight="1" s="144">
      <c r="B29" s="242" t="inlineStr">
        <is>
          <t>Spread mid   &lt;- feeds the statistic</t>
        </is>
      </c>
      <c r="C29" s="241" t="n"/>
      <c r="D29" s="240" t="n"/>
      <c r="E29" s="240" t="n"/>
      <c r="F29" s="240" t="n"/>
      <c r="G29" s="240" t="n"/>
    </row>
    <row r="30" ht="15" customHeight="1" s="144">
      <c r="B30" s="242" t="inlineStr">
        <is>
          <t>Bid-Ask Gap</t>
        </is>
      </c>
      <c r="C30" s="241" t="inlineStr">
        <is>
          <t>spread units</t>
        </is>
      </c>
      <c r="D30" s="240" t="n"/>
      <c r="E30" s="240" t="n"/>
      <c r="F30" s="240" t="n"/>
      <c r="G30" s="240" t="n"/>
    </row>
    <row r="31" ht="15" customHeight="1" s="144">
      <c r="B31" s="245" t="inlineStr">
        <is>
          <t>WINDOW</t>
        </is>
      </c>
      <c r="C31" s="246" t="n"/>
      <c r="D31" s="246" t="n"/>
      <c r="E31" s="246" t="n"/>
      <c r="F31" s="246" t="n"/>
      <c r="G31" s="246" t="n"/>
    </row>
    <row r="32" ht="15" customHeight="1" s="144">
      <c r="B32" s="242" t="inlineStr">
        <is>
          <t>Stored samples in window</t>
        </is>
      </c>
      <c r="C32" s="241" t="inlineStr">
        <is>
          <t>after dedupe + store gate</t>
        </is>
      </c>
      <c r="D32" s="244" t="n"/>
      <c r="E32" s="244" t="n"/>
      <c r="F32" s="244" t="n"/>
      <c r="G32" s="244" t="n"/>
    </row>
    <row r="33" ht="15" customHeight="1" s="144">
      <c r="B33" s="242" t="inlineStr">
        <is>
          <t>Window elapsed</t>
        </is>
      </c>
      <c r="C33" s="241" t="inlineStr">
        <is>
          <t>min</t>
        </is>
      </c>
      <c r="D33" s="247" t="n"/>
      <c r="E33" s="247" t="n"/>
      <c r="F33" s="247" t="n"/>
      <c r="G33" s="247" t="n"/>
    </row>
    <row r="34" ht="15" customHeight="1" s="144">
      <c r="B34" s="242" t="inlineStr">
        <is>
          <t>Warm-up gate</t>
        </is>
      </c>
      <c r="C34" s="241" t="inlineStr">
        <is>
          <t>binding gate</t>
        </is>
      </c>
      <c r="D34" s="243" t="n"/>
      <c r="E34" s="243" t="n"/>
      <c r="F34" s="243" t="n"/>
      <c r="G34" s="243" t="n"/>
    </row>
    <row r="35" ht="15" customHeight="1" s="144">
      <c r="B35" s="242" t="inlineStr">
        <is>
          <t>Feed rate</t>
        </is>
      </c>
      <c r="C35" s="241" t="inlineStr">
        <is>
          <t>quote CHANGES / min</t>
        </is>
      </c>
      <c r="D35" s="248" t="n"/>
      <c r="E35" s="248" t="n"/>
      <c r="F35" s="248" t="n"/>
      <c r="G35" s="248" t="n"/>
    </row>
    <row r="36" ht="15" customHeight="1" s="144">
      <c r="B36" s="242" t="inlineStr">
        <is>
          <t>Feed status</t>
        </is>
      </c>
      <c r="C36" s="241" t="n"/>
      <c r="D36" s="243" t="n"/>
      <c r="E36" s="243" t="n"/>
      <c r="F36" s="243" t="n"/>
      <c r="G36" s="243" t="n"/>
    </row>
    <row r="37" ht="15" customHeight="1" s="144">
      <c r="B37" s="245" t="inlineStr">
        <is>
          <t>STATISTICS  (FROZEN - republished every STATS_REFRESH_MIN)</t>
        </is>
      </c>
      <c r="C37" s="246" t="n"/>
      <c r="D37" s="246" t="n"/>
      <c r="E37" s="246" t="n"/>
      <c r="F37" s="246" t="n"/>
      <c r="G37" s="246" t="n"/>
    </row>
    <row r="38" ht="15" customHeight="1" s="144">
      <c r="B38" s="242" t="inlineStr">
        <is>
          <t>Mean (frozen)</t>
        </is>
      </c>
      <c r="C38" s="241" t="n"/>
      <c r="D38" s="240" t="n"/>
      <c r="E38" s="240" t="n"/>
      <c r="F38" s="240" t="n"/>
      <c r="G38" s="240" t="n"/>
    </row>
    <row r="39" ht="15" customHeight="1" s="144">
      <c r="B39" s="242" t="inlineStr">
        <is>
          <t>Std Dev (frozen)</t>
        </is>
      </c>
      <c r="C39" s="241" t="n"/>
      <c r="D39" s="240" t="n"/>
      <c r="E39" s="240" t="n"/>
      <c r="F39" s="240" t="n"/>
      <c r="G39" s="240" t="n"/>
    </row>
    <row r="40" ht="15" customHeight="1" s="144">
      <c r="B40" s="242" t="inlineStr">
        <is>
          <t>Std Dev in dollars</t>
        </is>
      </c>
      <c r="C40" s="241" t="inlineStr">
        <is>
          <t>sigma x USD/pt x LOTS</t>
        </is>
      </c>
      <c r="D40" s="249" t="n"/>
      <c r="E40" s="249" t="n"/>
      <c r="F40" s="249" t="n"/>
      <c r="G40" s="249" t="n"/>
    </row>
    <row r="41" ht="15" customHeight="1" s="144">
      <c r="B41" s="242" t="inlineStr">
        <is>
          <t>Stats age / next refresh</t>
        </is>
      </c>
      <c r="C41" s="241" t="inlineStr">
        <is>
          <t>min</t>
        </is>
      </c>
      <c r="D41" s="243" t="n"/>
      <c r="E41" s="243" t="n"/>
      <c r="F41" s="243" t="n"/>
      <c r="G41" s="243" t="n"/>
    </row>
    <row r="42" ht="15" customHeight="1" s="144">
      <c r="B42" s="250" t="inlineStr">
        <is>
          <t>Z  (live, vs frozen mean &amp; sigma)</t>
        </is>
      </c>
      <c r="C42" s="241" t="n"/>
      <c r="D42" s="251" t="n"/>
      <c r="E42" s="251" t="n"/>
      <c r="F42" s="251" t="n"/>
      <c r="G42" s="251" t="n"/>
    </row>
    <row r="43" ht="15" customHeight="1" s="144">
      <c r="B43" s="250" t="inlineStr">
        <is>
          <t>SIGNAL</t>
        </is>
      </c>
      <c r="C43" s="241" t="n"/>
      <c r="D43" s="252" t="n"/>
      <c r="E43" s="252" t="n"/>
      <c r="F43" s="252" t="n"/>
      <c r="G43" s="252" t="n"/>
    </row>
    <row r="44" ht="15" customHeight="1" s="144">
      <c r="B44" s="245" t="inlineStr">
        <is>
          <t>COST OF THE ROUND TRIP</t>
        </is>
      </c>
      <c r="C44" s="246" t="n"/>
      <c r="D44" s="246" t="n"/>
      <c r="E44" s="246" t="n"/>
      <c r="F44" s="246" t="n"/>
      <c r="G44" s="246" t="n"/>
    </row>
    <row r="45" ht="15" customHeight="1" s="144">
      <c r="B45" s="242" t="inlineStr">
        <is>
          <t>Direction</t>
        </is>
      </c>
      <c r="C45" s="241" t="n"/>
      <c r="D45" s="243" t="n"/>
      <c r="E45" s="243" t="n"/>
      <c r="F45" s="243" t="n"/>
      <c r="G45" s="243" t="n"/>
    </row>
    <row r="46" ht="15" customHeight="1" s="144">
      <c r="B46" s="242" t="inlineStr">
        <is>
          <t>Entry reference (touch)</t>
        </is>
      </c>
      <c r="C46" s="241" t="n"/>
      <c r="D46" s="240" t="n"/>
      <c r="E46" s="240" t="n"/>
      <c r="F46" s="240" t="n"/>
      <c r="G46" s="240" t="n"/>
    </row>
    <row r="47" ht="15" customHeight="1" s="144">
      <c r="B47" s="242" t="inlineStr">
        <is>
          <t>Commission</t>
        </is>
      </c>
      <c r="C47" s="241" t="inlineStr">
        <is>
          <t>contracts x rate x LOTS</t>
        </is>
      </c>
      <c r="D47" s="249" t="n"/>
      <c r="E47" s="249" t="n"/>
      <c r="F47" s="249" t="n"/>
      <c r="G47" s="249" t="n"/>
    </row>
    <row r="48" ht="15" customHeight="1" s="144">
      <c r="B48" s="242" t="inlineStr">
        <is>
          <t>Crossing cost - LEGGING</t>
        </is>
      </c>
      <c r="C48" s="241" t="n"/>
      <c r="D48" s="249" t="n"/>
      <c r="E48" s="249" t="n"/>
      <c r="F48" s="249" t="n"/>
      <c r="G48" s="249" t="n"/>
    </row>
    <row r="49" ht="15" customHeight="1" s="144">
      <c r="B49" s="242" t="inlineStr">
        <is>
          <t>Crossing cost - LISTED</t>
        </is>
      </c>
      <c r="C49" s="241" t="n"/>
      <c r="D49" s="249" t="n"/>
      <c r="E49" s="249" t="n"/>
      <c r="F49" s="249" t="n"/>
      <c r="G49" s="249" t="n"/>
    </row>
    <row r="50" ht="15" customHeight="1" s="144">
      <c r="B50" s="250" t="inlineStr">
        <is>
          <t>TOTAL COST (this mode)</t>
        </is>
      </c>
      <c r="C50" s="241" t="n"/>
      <c r="D50" s="253" t="n"/>
      <c r="E50" s="253" t="n"/>
      <c r="F50" s="253" t="n"/>
      <c r="G50" s="253" t="n"/>
    </row>
    <row r="51" ht="15" customHeight="1" s="144">
      <c r="B51" s="245" t="inlineStr">
        <is>
          <t>TAKE PROFIT  (exits act on MONEY, never on z)</t>
        </is>
      </c>
      <c r="C51" s="246" t="n"/>
      <c r="D51" s="246" t="n"/>
      <c r="E51" s="246" t="n"/>
      <c r="F51" s="246" t="n"/>
      <c r="G51" s="246" t="n"/>
    </row>
    <row r="52" ht="15" customHeight="1" s="144">
      <c r="B52" s="242" t="inlineStr">
        <is>
          <t>TP rule in force</t>
        </is>
      </c>
      <c r="C52" s="241" t="n"/>
      <c r="D52" s="243" t="n"/>
      <c r="E52" s="243" t="n"/>
      <c r="F52" s="243" t="n"/>
      <c r="G52" s="243" t="n"/>
    </row>
    <row r="53" ht="15" customHeight="1" s="144">
      <c r="B53" s="242" t="inlineStr">
        <is>
          <t>Notional (per NOTIONAL_BASIS)</t>
        </is>
      </c>
      <c r="C53" s="241" t="n"/>
      <c r="D53" s="249" t="n"/>
      <c r="E53" s="249" t="n"/>
      <c r="F53" s="249" t="n"/>
      <c r="G53" s="249" t="n"/>
    </row>
    <row r="54" ht="15" customHeight="1" s="144">
      <c r="B54" s="242" t="inlineStr">
        <is>
          <t>Win target (WIN_PCT x notional)</t>
        </is>
      </c>
      <c r="C54" s="241" t="n"/>
      <c r="D54" s="249" t="n"/>
      <c r="E54" s="249" t="n"/>
      <c r="F54" s="249" t="n"/>
      <c r="G54" s="249" t="n"/>
    </row>
    <row r="55" ht="15" customHeight="1" s="144">
      <c r="B55" s="242" t="inlineStr">
        <is>
          <t>Costs in spread units</t>
        </is>
      </c>
      <c r="C55" s="241" t="n"/>
      <c r="D55" s="240" t="n"/>
      <c r="E55" s="240" t="n"/>
      <c r="F55" s="240" t="n"/>
      <c r="G55" s="240" t="n"/>
    </row>
    <row r="56" ht="15" customHeight="1" s="144">
      <c r="B56" s="242" t="inlineStr">
        <is>
          <t>Win in spread units</t>
        </is>
      </c>
      <c r="C56" s="241" t="n"/>
      <c r="D56" s="240" t="n"/>
      <c r="E56" s="240" t="n"/>
      <c r="F56" s="240" t="n"/>
      <c r="G56" s="240" t="n"/>
    </row>
    <row r="57" ht="15" customHeight="1" s="144">
      <c r="B57" s="242" t="inlineStr">
        <is>
          <t>Break-even spread (mid)</t>
        </is>
      </c>
      <c r="C57" s="241" t="inlineStr">
        <is>
          <t>absolute level, mid scale</t>
        </is>
      </c>
      <c r="D57" s="240" t="n"/>
      <c r="E57" s="240" t="n"/>
      <c r="F57" s="240" t="n"/>
      <c r="G57" s="240" t="n"/>
    </row>
    <row r="58" ht="15" customHeight="1" s="144">
      <c r="B58" s="250" t="inlineStr">
        <is>
          <t>TAKE-PROFIT spread (mid)</t>
        </is>
      </c>
      <c r="C58" s="241" t="inlineStr">
        <is>
          <t>absolute level, mid scale</t>
        </is>
      </c>
      <c r="D58" s="254" t="n"/>
      <c r="E58" s="254" t="n"/>
      <c r="F58" s="254" t="n"/>
      <c r="G58" s="254" t="n"/>
    </row>
    <row r="59" ht="15" customHeight="1" s="144">
      <c r="B59" s="242" t="inlineStr">
        <is>
          <t>TP distance</t>
        </is>
      </c>
      <c r="C59" s="241" t="inlineStr">
        <is>
          <t>required MID move</t>
        </is>
      </c>
      <c r="D59" s="240" t="n"/>
      <c r="E59" s="240" t="n"/>
      <c r="F59" s="240" t="n"/>
      <c r="G59" s="240" t="n"/>
    </row>
    <row r="60" ht="15" customHeight="1" s="144">
      <c r="B60" s="242" t="inlineStr">
        <is>
          <t>TP in sigma</t>
        </is>
      </c>
      <c r="C60" s="241" t="inlineStr">
        <is>
          <t>x sigma</t>
        </is>
      </c>
      <c r="D60" s="247" t="n"/>
      <c r="E60" s="247" t="n"/>
      <c r="F60" s="247" t="n"/>
      <c r="G60" s="247" t="n"/>
    </row>
    <row r="61" ht="15" customHeight="1" s="144">
      <c r="B61" s="242" t="inlineStr">
        <is>
          <t>Target z</t>
        </is>
      </c>
      <c r="C61" s="241" t="inlineStr">
        <is>
          <t>z at the TP level</t>
        </is>
      </c>
      <c r="D61" s="247" t="n"/>
      <c r="E61" s="247" t="n"/>
      <c r="F61" s="247" t="n"/>
      <c r="G61" s="247" t="n"/>
    </row>
    <row r="62" ht="15" customHeight="1" s="144">
      <c r="B62" s="242" t="inlineStr">
        <is>
          <t>TP beyond the mean?</t>
        </is>
      </c>
      <c r="C62" s="241" t="n"/>
      <c r="D62" s="243" t="n"/>
      <c r="E62" s="243" t="n"/>
      <c r="F62" s="243" t="n"/>
      <c r="G62" s="243" t="n"/>
    </row>
    <row r="63" ht="15" customHeight="1" s="144">
      <c r="B63" s="245" t="inlineStr">
        <is>
          <t>EDGE FILTER  (a separate gate from ENTRY_Z)</t>
        </is>
      </c>
      <c r="C63" s="246" t="n"/>
      <c r="D63" s="246" t="n"/>
      <c r="E63" s="246" t="n"/>
      <c r="F63" s="246" t="n"/>
      <c r="G63" s="246" t="n"/>
    </row>
    <row r="64" ht="15" customHeight="1" s="144">
      <c r="B64" s="242" t="inlineStr">
        <is>
          <t>Expected capture</t>
        </is>
      </c>
      <c r="C64" s="241" t="inlineStr">
        <is>
          <t>0.5 x |z| x sigma x USD/pt x LOTS</t>
        </is>
      </c>
      <c r="D64" s="249" t="n"/>
      <c r="E64" s="249" t="n"/>
      <c r="F64" s="249" t="n"/>
      <c r="G64" s="249" t="n"/>
    </row>
    <row r="65" ht="15" customHeight="1" s="144">
      <c r="B65" s="242" t="inlineStr">
        <is>
          <t>Required</t>
        </is>
      </c>
      <c r="C65" s="241" t="inlineStr">
        <is>
          <t>EDGE_MULTIPLE x total cost</t>
        </is>
      </c>
      <c r="D65" s="249" t="n"/>
      <c r="E65" s="249" t="n"/>
      <c r="F65" s="249" t="n"/>
      <c r="G65" s="249" t="n"/>
    </row>
    <row r="66" ht="15" customHeight="1" s="144">
      <c r="B66" s="250" t="inlineStr">
        <is>
          <t>EDGE VERDICT</t>
        </is>
      </c>
      <c r="C66" s="241" t="n"/>
      <c r="D66" s="252" t="n"/>
      <c r="E66" s="252" t="n"/>
      <c r="F66" s="252" t="n"/>
      <c r="G66" s="252" t="n"/>
    </row>
    <row r="67" ht="15" customHeight="1" s="144">
      <c r="B67" s="242" t="inlineStr">
        <is>
          <t>Min sigma to pass at live z</t>
        </is>
      </c>
      <c r="C67" s="241" t="inlineStr">
        <is>
          <t>spread units</t>
        </is>
      </c>
      <c r="D67" s="240" t="n"/>
      <c r="E67" s="240" t="n"/>
      <c r="F67" s="240" t="n"/>
      <c r="G67" s="240" t="n"/>
    </row>
    <row r="69" ht="15" customHeight="1" s="144">
      <c r="B69" s="245" t="inlineStr">
        <is>
          <t>THE MEAN AT THE TOUCH  (live Gap - the price each side actually deals at)</t>
        </is>
      </c>
      <c r="C69" s="246" t="n"/>
      <c r="D69" s="246" t="n"/>
      <c r="E69" s="246" t="n"/>
      <c r="F69" s="246" t="n"/>
      <c r="G69" s="246" t="n"/>
    </row>
    <row r="70" ht="15" customHeight="1" s="144">
      <c r="B70" s="242" t="inlineStr">
        <is>
          <t>SHORT (high to low)  ENTER</t>
        </is>
      </c>
      <c r="C70" s="241" t="inlineStr">
        <is>
          <t>sell the bid     mean - Gap/2</t>
        </is>
      </c>
      <c r="D70" s="240" t="n"/>
      <c r="E70" s="240" t="n"/>
      <c r="F70" s="240" t="n"/>
      <c r="G70" s="240" t="n"/>
    </row>
    <row r="71">
      <c r="B71" s="250" t="inlineStr">
        <is>
          <t>SHORT (high to low)  EXIT at the mean</t>
        </is>
      </c>
      <c r="C71" s="241" t="inlineStr">
        <is>
          <t>buy the ask      mean + Gap/2</t>
        </is>
      </c>
      <c r="D71" s="254" t="n"/>
      <c r="E71" s="254" t="n"/>
      <c r="F71" s="254" t="n"/>
      <c r="G71" s="254" t="n"/>
    </row>
    <row r="72">
      <c r="B72" s="242" t="inlineStr">
        <is>
          <t>LONG (low to high)  ENTER</t>
        </is>
      </c>
      <c r="C72" s="241" t="inlineStr">
        <is>
          <t>buy the ask      mean + Gap/2</t>
        </is>
      </c>
      <c r="D72" s="240" t="n"/>
      <c r="E72" s="240" t="n"/>
      <c r="F72" s="240" t="n"/>
      <c r="G72" s="240" t="n"/>
    </row>
    <row r="73">
      <c r="B73" s="250" t="inlineStr">
        <is>
          <t>LONG (low to high)  EXIT at the mean</t>
        </is>
      </c>
      <c r="C73" s="241" t="inlineStr">
        <is>
          <t>sell the bid     mean - Gap/2</t>
        </is>
      </c>
      <c r="D73" s="254" t="n"/>
      <c r="E73" s="254" t="n"/>
      <c r="F73" s="254" t="n"/>
      <c r="G73" s="254" t="n"/>
    </row>
    <row r="74">
      <c r="B74" s="233" t="n"/>
    </row>
    <row r="75">
      <c r="B75" s="255" t="inlineStr">
        <is>
          <t>The EDGE FILTER is a different gate from ENTRY_Z. ENTRY_Z decides when the chime fires; the edge filter asks whether the expected capture clears the round trip by EDGE_MULTIPLE. A highlighted z that fails the edge filter is still not a trade worth taking.</t>
        </is>
      </c>
    </row>
    <row r="76">
      <c r="B76" s="233" t="inlineStr">
        <is>
          <t>ALERT_ONLY_IF_EDGE_PASSES on Config decides whether a failing edge filter also silences the chime. It ships FALSE, so the chime follows ENTRY_Z alone.</t>
        </is>
      </c>
    </row>
    <row r="77">
      <c r="B77" s="233" t="inlineStr">
        <is>
          <t>Break-even and take-profit are MID levels, on the same scale as the mean, sigma and z - a mid move of the cost is exactly what pays the round trip. The entry reference above them is the TOUCH you actually get filled at. To work the exit order, cross back: add half the Bid-Ask Gap to close a short, subtract half to close a long.</t>
        </is>
      </c>
    </row>
  </sheetData>
  <conditionalFormatting sqref="D42:G43">
    <cfRule type="expression" rank="0" priority="2" equalAverage="0" aboveAverage="0" dxfId="4" text="" percent="0" bottom="0">
      <formula>OR(D$43="NO USABLE Z",D$43="STALE FEED")</formula>
    </cfRule>
    <cfRule type="expression" rank="0" priority="3" equalAverage="0" aboveAverage="0" dxfId="5" text="" percent="0" bottom="0">
      <formula>D$43="WARMING UP"</formula>
    </cfRule>
    <cfRule type="expression" rank="0" priority="4" equalAverage="0" aboveAverage="0" dxfId="6" text="" percent="0" bottom="0">
      <formula>D$43="ABOVE CEILING"</formula>
    </cfRule>
    <cfRule type="expression" rank="0" priority="5" equalAverage="0" aboveAverage="0" dxfId="7" text="" percent="0" bottom="0">
      <formula>D$43="ENTRY BAND"</formula>
    </cfRule>
  </conditionalFormatting>
  <conditionalFormatting sqref="D66:G66">
    <cfRule type="expression" rank="0" priority="6" equalAverage="0" aboveAverage="0" dxfId="7" text="" percent="0" bottom="0">
      <formula>D66="PASS"</formula>
    </cfRule>
    <cfRule type="expression" rank="0" priority="7" equalAverage="0" aboveAverage="0" dxfId="6" text="" percent="0" bottom="0">
      <formula>D66="FAIL"</formula>
    </cfRule>
  </conditionalFormatting>
  <conditionalFormatting sqref="D36:G36">
    <cfRule type="expression" rank="0" priority="8" equalAverage="0" aboveAverage="0" dxfId="4" text="" percent="0" bottom="0">
      <formula>D36="STALE"</formula>
    </cfRule>
    <cfRule type="expression" rank="0" priority="9" equalAverage="0" aboveAverage="0" dxfId="6" text="" percent="0" bottom="0">
      <formula>D36="THIN"</formula>
    </cfRule>
    <cfRule type="expression" rank="0" priority="10" equalAverage="0" aboveAverage="0" dxfId="7" text="" percent="0" bottom="0">
      <formula>D36="OK"</formula>
    </cfRule>
  </conditionalFormatting>
  <conditionalFormatting sqref="D34:G34">
    <cfRule type="expression" rank="0" priority="11" equalAverage="0" aboveAverage="0" dxfId="5" text="" percent="0" bottom="0">
      <formula>D34&lt;&gt;"ready"</formula>
    </cfRule>
  </conditionalFormatting>
  <conditionalFormatting sqref="D62:G62">
    <cfRule type="expression" rank="0" priority="12" equalAverage="0" aboveAverage="0" dxfId="6" text="" percent="0" bottom="0">
      <formula>LEFT(D62,3)="YES"</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8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142" min="1" max="1"/>
    <col width="34" customWidth="1" style="142" min="2" max="2"/>
    <col width="14" customWidth="1" style="142" min="3" max="3"/>
    <col width="10" customWidth="1" style="142" min="4" max="4"/>
    <col width="96" customWidth="1" style="142" min="5" max="5"/>
    <col width="30" customWidth="1" style="142" min="6" max="6"/>
    <col width="12" customWidth="1" style="142" min="7" max="8"/>
    <col width="10" customWidth="1" style="142" min="9" max="9"/>
    <col width="8" customWidth="1" style="142" min="10" max="10"/>
    <col width="34" customWidth="1" style="142" min="11" max="11"/>
  </cols>
  <sheetData>
    <row r="1" ht="19.7" customHeight="1" s="144">
      <c r="A1" s="256" t="inlineStr">
        <is>
          <t>CONFIG  -  every parameter in its own labelled cell</t>
        </is>
      </c>
    </row>
    <row r="2" ht="15" customHeight="1" s="144">
      <c r="A2" s="257" t="inlineStr">
        <is>
          <t>LEGEND:  yellow / blue = EDIT THESE.  black = formula, do not edit.  A changed value takes effect on the NEXT TIMER TICK - no restart, no VBA edit.</t>
        </is>
      </c>
    </row>
    <row r="3" ht="15" customHeight="1" s="144">
      <c r="A3" s="233" t="inlineStr">
        <is>
          <t>Exception: LOOKBACK_MIN redefines the window, so stored history is re-evaluated against the new width on the next stats refresh and the warm-up gates re-apply.</t>
        </is>
      </c>
    </row>
    <row r="4" ht="15" customHeight="1" s="144">
      <c r="A4" s="233" t="inlineStr">
        <is>
          <t>VBA finds a parameter by matching column A exactly, so you may insert or reorder rows freely - but never rename a parameter in column A.</t>
        </is>
      </c>
    </row>
    <row r="5" ht="15" customHeight="1" s="144">
      <c r="A5" s="257" t="inlineStr">
        <is>
          <t>FOUR DECOUPLED RATES:  CAPTURE_MS (poll for a changed quote)  &gt;  STORE_MIN_INTERVAL_MS (what reaches the window)  &gt;  PRICE_REFRESH_MS (what repaints)  &gt;  STATS_REFRESH_MIN (when mean and sigma are republished).  Capturing fast buys alert latency, not a better sigma.</t>
        </is>
      </c>
    </row>
    <row r="7" ht="15" customHeight="1" s="144">
      <c r="A7" s="258" t="inlineStr">
        <is>
          <t>ENGINE  /  SAMPLING</t>
        </is>
      </c>
      <c r="B7" s="258" t="n"/>
      <c r="C7" s="258" t="n"/>
      <c r="D7" s="258" t="n"/>
      <c r="E7" s="258" t="n"/>
    </row>
    <row r="8" ht="15" customHeight="1" s="144">
      <c r="A8" s="259" t="inlineStr">
        <is>
          <t>Parameter</t>
        </is>
      </c>
      <c r="B8" s="259" t="inlineStr">
        <is>
          <t>Value</t>
        </is>
      </c>
      <c r="C8" s="259" t="inlineStr">
        <is>
          <t>Default</t>
        </is>
      </c>
      <c r="D8" s="259" t="inlineStr">
        <is>
          <t>Units</t>
        </is>
      </c>
      <c r="E8" s="259" t="inlineStr">
        <is>
          <t>Meaning</t>
        </is>
      </c>
    </row>
    <row r="9" ht="15" customHeight="1" s="144">
      <c r="A9" s="250" t="inlineStr">
        <is>
          <t>CAPTURE_MS</t>
        </is>
      </c>
      <c r="B9" s="260" t="n">
        <v>100</v>
      </c>
      <c r="C9" s="239" t="n">
        <v>100</v>
      </c>
      <c r="D9" s="239" t="inlineStr">
        <is>
          <t>ms</t>
        </is>
      </c>
      <c r="E9" s="261" t="inlineStr">
        <is>
          <t>RATE 1 of 4. How often the feed is POLLED for a changed quote. Drives latency to the chime, NOT sigma - after dedupe the window holds quote changes, not poll ticks. Sub-second needs the user32 timer; at 1000+ the module falls back to Application.OnTime.</t>
        </is>
      </c>
    </row>
    <row r="10" ht="15" customHeight="1" s="144">
      <c r="A10" s="250" t="inlineStr">
        <is>
          <t>STORE_MIN_INTERVAL_MS</t>
        </is>
      </c>
      <c r="B10" s="260" t="n">
        <v>0</v>
      </c>
      <c r="C10" s="239" t="n">
        <v>0</v>
      </c>
      <c r="D10" s="239" t="inlineStr">
        <is>
          <t>ms</t>
        </is>
      </c>
      <c r="E10" s="261" t="inlineStr">
        <is>
          <t>RATE 2 of 4. Minimum spacing between STORED samples. 0 = full fidelity. Leave it at 0 for the first week or two to characterise the microstructure, then set 250-1000: subsampling a mean-reverting level series is unbiased, so it is 3-10x less memory for the same mean and sigma.</t>
        </is>
      </c>
    </row>
    <row r="11" ht="15" customHeight="1" s="144">
      <c r="A11" s="250" t="inlineStr">
        <is>
          <t>PRICE_REFRESH_MS</t>
        </is>
      </c>
      <c r="B11" s="260" t="n">
        <v>500</v>
      </c>
      <c r="C11" s="239" t="n">
        <v>500</v>
      </c>
      <c r="D11" s="239" t="inlineStr">
        <is>
          <t>ms</t>
        </is>
      </c>
      <c r="E11" s="261" t="inlineStr">
        <is>
          <t>RATE 3 of 4. How often the display may repaint. Independent of capture and of storage - a number showing more digits than the market moves in will appear to change constantly.</t>
        </is>
      </c>
    </row>
    <row r="12" ht="15" customHeight="1" s="144">
      <c r="A12" s="250" t="inlineStr">
        <is>
          <t>CONFIG_REFRESH_MS</t>
        </is>
      </c>
      <c r="B12" s="260" t="n">
        <v>1000</v>
      </c>
      <c r="C12" s="239" t="n">
        <v>1000</v>
      </c>
      <c r="D12" s="239" t="inlineStr">
        <is>
          <t>ms</t>
        </is>
      </c>
      <c r="E12" s="261" t="inlineStr">
        <is>
          <t>How often this sheet is re-read. A value changed here takes effect within this long - no restart, no VBA edit.</t>
        </is>
      </c>
    </row>
    <row r="13" ht="15" customHeight="1" s="144">
      <c r="A13" s="250" t="inlineStr">
        <is>
          <t>RTD_THROTTLE_MS</t>
        </is>
      </c>
      <c r="B13" s="260" t="n">
        <v>100</v>
      </c>
      <c r="C13" s="239" t="n">
        <v>100</v>
      </c>
      <c r="D13" s="239" t="inlineStr">
        <is>
          <t>ms</t>
        </is>
      </c>
      <c r="E13" s="261" t="inlineStr">
        <is>
          <t>Application.RTD.ThrottleInterval set on start. Match it to CAPTURE_MS. Excel's default is 2000.</t>
        </is>
      </c>
    </row>
    <row r="14" ht="15" customHeight="1" s="144">
      <c r="A14" s="250" t="inlineStr">
        <is>
          <t>WATCHDOG_SEC</t>
        </is>
      </c>
      <c r="B14" s="260" t="n">
        <v>5</v>
      </c>
      <c r="C14" s="239" t="n">
        <v>5</v>
      </c>
      <c r="D14" s="239" t="inlineStr">
        <is>
          <t>s</t>
        </is>
      </c>
      <c r="E14" s="261" t="inlineStr">
        <is>
          <t>Application.OnTime watchdog. Re-arms the high-resolution timer if Excel killed it (a modal dialog will) and picks up a changed CAPTURE_MS.</t>
        </is>
      </c>
    </row>
    <row r="15" ht="15" customHeight="1" s="144">
      <c r="A15" s="250" t="inlineStr">
        <is>
          <t>STALE_SEC</t>
        </is>
      </c>
      <c r="B15" s="260" t="n">
        <v>15</v>
      </c>
      <c r="C15" s="239" t="n">
        <v>15</v>
      </c>
      <c r="D15" s="239" t="inlineStr">
        <is>
          <t>s</t>
        </is>
      </c>
      <c r="E15" s="261" t="inlineStr">
        <is>
          <t>No new quote id for this long =&gt; feed marked STALE and alerts go silent.</t>
        </is>
      </c>
    </row>
    <row r="16" ht="15" customHeight="1" s="144">
      <c r="A16" s="250" t="inlineStr">
        <is>
          <t>FLUSH_SEC</t>
        </is>
      </c>
      <c r="B16" s="260" t="n">
        <v>60</v>
      </c>
      <c r="C16" s="239" t="n">
        <v>60</v>
      </c>
      <c r="D16" s="239" t="inlineStr">
        <is>
          <t>s</t>
        </is>
      </c>
      <c r="E16" s="261" t="inlineStr">
        <is>
          <t>How often the recovery snapshot is written to the hidden Buffer sheet.</t>
        </is>
      </c>
    </row>
    <row r="17" ht="15" customHeight="1" s="144">
      <c r="A17" s="250" t="inlineStr">
        <is>
          <t>FLUSH_DECIMATE_MS</t>
        </is>
      </c>
      <c r="B17" s="260" t="n">
        <v>1000</v>
      </c>
      <c r="C17" s="239" t="n">
        <v>1000</v>
      </c>
      <c r="D17" s="239" t="inlineStr">
        <is>
          <t>ms</t>
        </is>
      </c>
      <c r="E17" s="261" t="inlineStr">
        <is>
          <t>The recovery snapshot is decimated to this spacing. Unbiased for mean and sigma, and it keeps a 120-minute window near 7,200 rows instead of tens of thousands.</t>
        </is>
      </c>
    </row>
    <row r="18" ht="15" customHeight="1" s="144">
      <c r="A18" s="250" t="inlineStr">
        <is>
          <t>BUFFER_CAPACITY</t>
        </is>
      </c>
      <c r="B18" s="260" t="n">
        <v>80000</v>
      </c>
      <c r="C18" s="239" t="n">
        <v>80000</v>
      </c>
      <c r="D18" s="239" t="inlineStr">
        <is>
          <t>samples</t>
        </is>
      </c>
      <c r="E18" s="261" t="inlineStr">
        <is>
          <t>Circular-buffer capacity per spread. 4 spreads x 80,000 x 16 bytes is about 5 MB of VBA array, held in memory, not in cells.</t>
        </is>
      </c>
    </row>
    <row r="19" ht="15" customHeight="1" s="144">
      <c r="A19" s="250" t="inlineStr">
        <is>
          <t>TICK_ARCHIVE_ENABLED</t>
        </is>
      </c>
      <c r="B19" s="260" t="b">
        <v>1</v>
      </c>
      <c r="C19" s="239" t="b">
        <v>1</v>
      </c>
      <c r="D19" s="239" t="inlineStr">
        <is>
          <t>bool</t>
        </is>
      </c>
      <c r="E19" s="261" t="inlineStr">
        <is>
          <t>Write every CHANGED quote to a CSV on disk. This is the one chance to characterise the spread's microstructure and to verify that coarser storage loses nothing real. Turn it off once STORE_MIN_INTERVAL_MS is set.</t>
        </is>
      </c>
    </row>
    <row r="20" ht="15" customHeight="1" s="144">
      <c r="A20" s="250" t="inlineStr">
        <is>
          <t>TICK_ARCHIVE_PATH</t>
        </is>
      </c>
      <c r="B20" s="262" t="n"/>
      <c r="C20" s="239" t="n"/>
      <c r="D20" s="239" t="inlineStr">
        <is>
          <t>folder</t>
        </is>
      </c>
      <c r="E20" s="261" t="inlineStr">
        <is>
          <t>Folder for the tick CSVs. Blank = a 'ticks' folder beside the workbook. One file per spread per day.</t>
        </is>
      </c>
    </row>
    <row r="21" ht="15" customHeight="1" s="144">
      <c r="A21" s="250" t="inlineStr">
        <is>
          <t>TICK_ARCHIVE_BATCH</t>
        </is>
      </c>
      <c r="B21" s="260" t="n">
        <v>500</v>
      </c>
      <c r="C21" s="239" t="n">
        <v>500</v>
      </c>
      <c r="D21" s="239" t="inlineStr">
        <is>
          <t>lines</t>
        </is>
      </c>
      <c r="E21" s="261" t="inlineStr">
        <is>
          <t>Lines buffered in memory before a file write, so archiving never stalls the capture timer.</t>
        </is>
      </c>
    </row>
    <row r="23" ht="15" customHeight="1" s="144">
      <c r="A23" s="258" t="inlineStr">
        <is>
          <t>WINDOW  /  STATISTICS</t>
        </is>
      </c>
      <c r="B23" s="258" t="n"/>
      <c r="C23" s="258" t="n"/>
      <c r="D23" s="258" t="n"/>
      <c r="E23" s="258" t="n"/>
    </row>
    <row r="24" ht="15" customHeight="1" s="144">
      <c r="A24" s="259" t="inlineStr">
        <is>
          <t>Parameter</t>
        </is>
      </c>
      <c r="B24" s="259" t="inlineStr">
        <is>
          <t>Value</t>
        </is>
      </c>
      <c r="C24" s="259" t="inlineStr">
        <is>
          <t>Default</t>
        </is>
      </c>
      <c r="D24" s="259" t="inlineStr">
        <is>
          <t>Units</t>
        </is>
      </c>
      <c r="E24" s="259" t="inlineStr">
        <is>
          <t>Meaning</t>
        </is>
      </c>
    </row>
    <row r="25" ht="15" customHeight="1" s="144">
      <c r="A25" s="250" t="inlineStr">
        <is>
          <t>LOOKBACK_MIN</t>
        </is>
      </c>
      <c r="B25" s="260" t="n">
        <v>120</v>
      </c>
      <c r="C25" s="239" t="n">
        <v>120</v>
      </c>
      <c r="D25" s="239" t="inlineStr">
        <is>
          <t>min</t>
        </is>
      </c>
      <c r="E25" s="261" t="inlineStr">
        <is>
          <t>Rolling window width (90 or 120). Changing it re-evaluates stored history on the next stats refresh and re-applies the warm-up gates.</t>
        </is>
      </c>
    </row>
    <row r="26" ht="15" customHeight="1" s="144">
      <c r="A26" s="250" t="inlineStr">
        <is>
          <t>STATS_REFRESH_MIN</t>
        </is>
      </c>
      <c r="B26" s="260" t="n">
        <v>5</v>
      </c>
      <c r="C26" s="239" t="n">
        <v>5</v>
      </c>
      <c r="D26" s="239" t="inlineStr">
        <is>
          <t>min</t>
        </is>
      </c>
      <c r="E26" s="261" t="inlineStr">
        <is>
          <t>How often mean/sigma are recomputed and re-published. Held FROZEN in between; live z is measured against the frozen values.</t>
        </is>
      </c>
    </row>
    <row r="27" ht="15" customHeight="1" s="144">
      <c r="A27" s="250" t="inlineStr">
        <is>
          <t>MIN_SAMPLES</t>
        </is>
      </c>
      <c r="B27" s="260" t="n">
        <v>300</v>
      </c>
      <c r="C27" s="239" t="n">
        <v>300</v>
      </c>
      <c r="D27" s="239" t="inlineStr">
        <is>
          <t>quotes</t>
        </is>
      </c>
      <c r="E27" s="261" t="inlineStr">
        <is>
          <t>Warm-up gate 1. Quotes needed before any z is shown.</t>
        </is>
      </c>
    </row>
    <row r="28" ht="15" customHeight="1" s="144">
      <c r="A28" s="250" t="inlineStr">
        <is>
          <t>MIN_HISTORY_MIN</t>
        </is>
      </c>
      <c r="B28" s="260" t="n">
        <v>120</v>
      </c>
      <c r="C28" s="239" t="n">
        <v>120</v>
      </c>
      <c r="D28" s="239" t="inlineStr">
        <is>
          <t>min</t>
        </is>
      </c>
      <c r="E28" s="261" t="inlineStr">
        <is>
          <t>Warm-up gate 2. Elapsed collection needed before any z is shown. BOTH gates must pass. MUST BE BELOW LOOKBACK_MIN: eviction caps the window span at the lookback, so a value at or above it can never be met and the monitor warms up forever. Set at or above it and the engine clamps to 99% of LOOKBACK_MIN and says so on the Dashboard status strip.</t>
        </is>
      </c>
    </row>
    <row r="29" ht="15" customHeight="1" s="144">
      <c r="A29" s="250" t="inlineStr">
        <is>
          <t>MIN_SIGMA</t>
        </is>
      </c>
      <c r="B29" s="260" t="n">
        <v>0</v>
      </c>
      <c r="C29" s="239" t="n">
        <v>0</v>
      </c>
      <c r="D29" s="239" t="inlineStr">
        <is>
          <t>spread</t>
        </is>
      </c>
      <c r="E29" s="261" t="inlineStr">
        <is>
          <t>Sigma floor. Below this the window is degenerate and NO z is shown. Set once sigma has actually been measured.</t>
        </is>
      </c>
    </row>
    <row r="30" ht="15" customHeight="1" s="144">
      <c r="A30" s="250" t="inlineStr">
        <is>
          <t>MAX_ABS_Z</t>
        </is>
      </c>
      <c r="B30" s="260" t="n">
        <v>25</v>
      </c>
      <c r="C30" s="239" t="n">
        <v>25</v>
      </c>
      <c r="D30" s="239" t="inlineStr">
        <is>
          <t>z</t>
        </is>
      </c>
      <c r="E30" s="261" t="inlineStr">
        <is>
          <t>Absurd-z guard. Above this, show 'no usable z' rather than a number.</t>
        </is>
      </c>
    </row>
    <row r="32" ht="15" customHeight="1" s="144">
      <c r="A32" s="258" t="inlineStr">
        <is>
          <t>SIGNAL THRESHOLDS</t>
        </is>
      </c>
      <c r="B32" s="258" t="n"/>
      <c r="C32" s="258" t="n"/>
      <c r="D32" s="258" t="n"/>
      <c r="E32" s="258" t="n"/>
    </row>
    <row r="33" ht="15" customHeight="1" s="144">
      <c r="A33" s="259" t="inlineStr">
        <is>
          <t>Parameter</t>
        </is>
      </c>
      <c r="B33" s="259" t="inlineStr">
        <is>
          <t>Value</t>
        </is>
      </c>
      <c r="C33" s="259" t="inlineStr">
        <is>
          <t>Default</t>
        </is>
      </c>
      <c r="D33" s="259" t="inlineStr">
        <is>
          <t>Units</t>
        </is>
      </c>
      <c r="E33" s="259" t="inlineStr">
        <is>
          <t>Meaning</t>
        </is>
      </c>
    </row>
    <row r="34" ht="15" customHeight="1" s="144">
      <c r="A34" s="250" t="inlineStr">
        <is>
          <t>ENTRY_Z</t>
        </is>
      </c>
      <c r="B34" s="263" t="n">
        <v>2.5</v>
      </c>
      <c r="C34" s="264" t="n">
        <v>2.5</v>
      </c>
      <c r="D34" s="239" t="inlineStr">
        <is>
          <t>z</t>
        </is>
      </c>
      <c r="E34" s="261" t="inlineStr">
        <is>
          <t>Highlight and chime at or above this |z|. 2.0 and 2.5 are both reasonable; 2.0 fires more often and needs a larger sigma to stay worth trading.</t>
        </is>
      </c>
    </row>
    <row r="35" ht="15" customHeight="1" s="144">
      <c r="A35" s="250" t="inlineStr">
        <is>
          <t>MAX_ENTRY_Z</t>
        </is>
      </c>
      <c r="B35" s="263" t="n">
        <v>4.5</v>
      </c>
      <c r="C35" s="264" t="n">
        <v>4.5</v>
      </c>
      <c r="D35" s="239" t="inlineStr">
        <is>
          <t>z</t>
        </is>
      </c>
      <c r="E35" s="261" t="inlineStr">
        <is>
          <t>Entry CEILING. At or above this, do NOT highlight - that is a momentum spike, not a reversion setup. Keep the band at least 1 sigma wide.</t>
        </is>
      </c>
    </row>
    <row r="36" ht="15" customHeight="1" s="144">
      <c r="A36" s="250" t="inlineStr">
        <is>
          <t>THIN_FEED_QPM</t>
        </is>
      </c>
      <c r="B36" s="260" t="n">
        <v>6</v>
      </c>
      <c r="C36" s="239" t="n">
        <v>6</v>
      </c>
      <c r="D36" s="239" t="inlineStr">
        <is>
          <t>q/min</t>
        </is>
      </c>
      <c r="E36" s="261" t="inlineStr">
        <is>
          <t>Feed rate at or below which the quotes/min display turns amber.</t>
        </is>
      </c>
    </row>
    <row r="37" ht="15" customHeight="1" s="144">
      <c r="A37" s="250" t="inlineStr">
        <is>
          <t>SPREAD_QUOTE_CONVENTION</t>
        </is>
      </c>
      <c r="B37" s="262" t="inlineStr">
        <is>
          <t>CROSSING</t>
        </is>
      </c>
      <c r="C37" s="239" t="inlineStr">
        <is>
          <t>CROSSING</t>
        </is>
      </c>
      <c r="D37" s="239" t="inlineStr">
        <is>
          <t>text</t>
        </is>
      </c>
      <c r="E37" s="261" t="inlineStr">
        <is>
          <t>How the spread rows on Dashboard quote Bid and Ask. CROSSING: sell LegB at the bid and buy LegA at the ask, mirrored for the ask - the Gap is then the true cost of crossing and is always positive. SAME_SIDE: bid-minus-bid and ask-minus-ask, as the original sheet's rows 9 computed. Under SAME_SIDE the Gap is a DIFFERENCE of gaps, which understates the crossing cost and can go negative.</t>
        </is>
      </c>
    </row>
    <row r="39" ht="15" customHeight="1" s="144">
      <c r="A39" s="258" t="inlineStr">
        <is>
          <t>SIZING  /  COSTS</t>
        </is>
      </c>
      <c r="B39" s="258" t="n"/>
      <c r="C39" s="258" t="n"/>
      <c r="D39" s="258" t="n"/>
      <c r="E39" s="258" t="n"/>
    </row>
    <row r="40" ht="15" customHeight="1" s="144">
      <c r="A40" s="259" t="inlineStr">
        <is>
          <t>Parameter</t>
        </is>
      </c>
      <c r="B40" s="259" t="inlineStr">
        <is>
          <t>Value</t>
        </is>
      </c>
      <c r="C40" s="259" t="inlineStr">
        <is>
          <t>Default</t>
        </is>
      </c>
      <c r="D40" s="259" t="inlineStr">
        <is>
          <t>Units</t>
        </is>
      </c>
      <c r="E40" s="259" t="inlineStr">
        <is>
          <t>Meaning</t>
        </is>
      </c>
    </row>
    <row r="41" ht="15" customHeight="1" s="144">
      <c r="A41" s="250" t="inlineStr">
        <is>
          <t>LOTS</t>
        </is>
      </c>
      <c r="B41" s="260" t="n">
        <v>1</v>
      </c>
      <c r="C41" s="239" t="n">
        <v>1</v>
      </c>
      <c r="D41" s="239" t="inlineStr">
        <is>
          <t>lots</t>
        </is>
      </c>
      <c r="E41" s="261" t="inlineStr">
        <is>
          <t>Contracts per leg, for the cost and take-profit maths.</t>
        </is>
      </c>
    </row>
    <row r="42" ht="15" customHeight="1" s="144">
      <c r="A42" s="250" t="inlineStr">
        <is>
          <t>TP_MODE</t>
        </is>
      </c>
      <c r="B42" s="262" t="inlineStr">
        <is>
          <t>PCT_NOTIONAL</t>
        </is>
      </c>
      <c r="C42" s="239" t="inlineStr">
        <is>
          <t>PCT_NOTIONAL</t>
        </is>
      </c>
      <c r="D42" s="239" t="inlineStr">
        <is>
          <t>text</t>
        </is>
      </c>
      <c r="E42" s="261" t="inlineStr">
        <is>
          <t>PCT_NOTIONAL: Take Profit = Mid + Costs + (WIN_PCT x Notional). TARGET_USD: the older rule, Take Profit = Mid + Costs + TARGET_NET_USD. The level is anchored to the MID, not the entry touch - the touch already carries half the width.</t>
        </is>
      </c>
    </row>
    <row r="43" ht="15" customHeight="1" s="144">
      <c r="A43" s="250" t="inlineStr">
        <is>
          <t>WIN_PCT</t>
        </is>
      </c>
      <c r="B43" s="263" t="n">
        <v>0.004</v>
      </c>
      <c r="C43" s="264" t="n">
        <v>0.004</v>
      </c>
      <c r="D43" s="239" t="inlineStr">
        <is>
          <t>fraction</t>
        </is>
      </c>
      <c r="E43" s="261" t="inlineStr">
        <is>
          <t>Percentage win, as a FRACTION - 0.01 is 1%, 0.004 is 0.4%. Used only when TP_MODE = PCT_NOTIONAL. 0.004 targets about 1.25 sigma, the same capture the edge filter assumes at ENTRY_Z, which keeps the take-profit inside the mean on all three legged spreads. Re-derive it once sigma has been measured over more than a single window.</t>
        </is>
      </c>
    </row>
    <row r="44" ht="15" customHeight="1" s="144">
      <c r="A44" s="250" t="inlineStr">
        <is>
          <t>NOTIONAL_BASIS</t>
        </is>
      </c>
      <c r="B44" s="262" t="inlineStr">
        <is>
          <t>SPREAD_VALUE</t>
        </is>
      </c>
      <c r="C44" s="239" t="inlineStr">
        <is>
          <t>SPREAD_VALUE</t>
        </is>
      </c>
      <c r="D44" s="239" t="inlineStr">
        <is>
          <t>text</t>
        </is>
      </c>
      <c r="E44" s="261" t="inlineStr">
        <is>
          <t>What WIN_PCT is taken OF. SPREAD_VALUE = |spread| x USD/pt x LOTS. ONE_LEG = the crude leg's full contract value. BOTH_LEGS = both legs' contract value added. These differ by roughly 10x - read the note below the table before changing it.</t>
        </is>
      </c>
    </row>
    <row r="45" ht="15" customHeight="1" s="144">
      <c r="A45" s="250" t="inlineStr">
        <is>
          <t>TARGET_NET_USD</t>
        </is>
      </c>
      <c r="B45" s="260" t="n">
        <v>150</v>
      </c>
      <c r="C45" s="239" t="n">
        <v>150</v>
      </c>
      <c r="D45" s="239" t="inlineStr">
        <is>
          <t>USD</t>
        </is>
      </c>
      <c r="E45" s="261" t="inlineStr">
        <is>
          <t>Desired profit AFTER all costs. Used only when TP_MODE = TARGET_USD.</t>
        </is>
      </c>
    </row>
    <row r="46" ht="15" customHeight="1" s="144">
      <c r="A46" s="250" t="inlineStr">
        <is>
          <t>EDGE_MULTIPLE</t>
        </is>
      </c>
      <c r="B46" s="263" t="n">
        <v>1.5</v>
      </c>
      <c r="C46" s="264" t="n">
        <v>1.5</v>
      </c>
      <c r="D46" s="239" t="inlineStr">
        <is>
          <t>x</t>
        </is>
      </c>
      <c r="E46" s="261" t="inlineStr">
        <is>
          <t>Expected capture must clear the round trip by this multiple.</t>
        </is>
      </c>
    </row>
    <row r="47" ht="15" customHeight="1" s="144">
      <c r="A47" s="250" t="inlineStr">
        <is>
          <t>RATE_ORIENT_PER_SIDE</t>
        </is>
      </c>
      <c r="B47" s="263" t="n">
        <v>0.35</v>
      </c>
      <c r="C47" s="264" t="n">
        <v>0.35</v>
      </c>
      <c r="D47" s="239" t="inlineStr">
        <is>
          <t>USD</t>
        </is>
      </c>
      <c r="E47" s="261" t="inlineStr">
        <is>
          <t>Orient clearing + execution, per contract per side. Source: Orient rate card 2026-08-21, Ver.26.8.17.</t>
        </is>
      </c>
    </row>
    <row r="48" ht="15" customHeight="1" s="144">
      <c r="A48" s="250" t="inlineStr">
        <is>
          <t>RATE_FIX_PER_SIDE</t>
        </is>
      </c>
      <c r="B48" s="263" t="n">
        <v>0.06</v>
      </c>
      <c r="C48" s="264" t="n">
        <v>0.06</v>
      </c>
      <c r="D48" s="239" t="inlineStr">
        <is>
          <t>USD</t>
        </is>
      </c>
      <c r="E48" s="261" t="inlineStr">
        <is>
          <t>FIX / platform transaction fee, per contract per side. Same rate card.</t>
        </is>
      </c>
    </row>
    <row r="49" ht="15" customHeight="1" s="144">
      <c r="A49" s="250" t="inlineStr">
        <is>
          <t>RATE_CME_PER_SIDE</t>
        </is>
      </c>
      <c r="B49" s="263" t="n">
        <v>1.5</v>
      </c>
      <c r="C49" s="264" t="n">
        <v>1.5</v>
      </c>
      <c r="D49" s="239" t="inlineStr">
        <is>
          <t>USD</t>
        </is>
      </c>
      <c r="E49" s="261" t="inlineStr">
        <is>
          <t>CME exchange + clearing, per contract per side. Same rate card.</t>
        </is>
      </c>
    </row>
    <row r="51" ht="15" customHeight="1" s="144">
      <c r="A51" s="258" t="inlineStr">
        <is>
          <t>AUDIBLE ALERT</t>
        </is>
      </c>
      <c r="B51" s="258" t="n"/>
      <c r="C51" s="258" t="n"/>
      <c r="D51" s="258" t="n"/>
      <c r="E51" s="258" t="n"/>
    </row>
    <row r="52" ht="15" customHeight="1" s="144">
      <c r="A52" s="259" t="inlineStr">
        <is>
          <t>Parameter</t>
        </is>
      </c>
      <c r="B52" s="259" t="inlineStr">
        <is>
          <t>Value</t>
        </is>
      </c>
      <c r="C52" s="259" t="inlineStr">
        <is>
          <t>Default</t>
        </is>
      </c>
      <c r="D52" s="259" t="inlineStr">
        <is>
          <t>Units</t>
        </is>
      </c>
      <c r="E52" s="259" t="inlineStr">
        <is>
          <t>Meaning</t>
        </is>
      </c>
    </row>
    <row r="53" ht="15" customHeight="1" s="144">
      <c r="A53" s="250" t="inlineStr">
        <is>
          <t>ALERT_ENABLED</t>
        </is>
      </c>
      <c r="B53" s="260" t="b">
        <v>1</v>
      </c>
      <c r="C53" s="239" t="b">
        <v>1</v>
      </c>
      <c r="D53" s="239" t="inlineStr">
        <is>
          <t>bool</t>
        </is>
      </c>
      <c r="E53" s="261" t="inlineStr">
        <is>
          <t>MASTER MUTE. FALSE silences every sound.</t>
        </is>
      </c>
    </row>
    <row r="54" ht="15" customHeight="1" s="144">
      <c r="A54" s="250" t="inlineStr">
        <is>
          <t>ALERT_SOUND_PATH</t>
        </is>
      </c>
      <c r="B54" s="262" t="inlineStr">
        <is>
          <t>C:\Windows\Media\chimes.wav</t>
        </is>
      </c>
      <c r="C54" s="239" t="inlineStr">
        <is>
          <t>C:\Windows\Media\chimes.wav</t>
        </is>
      </c>
      <c r="D54" s="239" t="inlineStr">
        <is>
          <t>path</t>
        </is>
      </c>
      <c r="E54" s="261" t="inlineStr">
        <is>
          <t>Single short 'ting' played on an entry-band crossing.</t>
        </is>
      </c>
    </row>
    <row r="55" ht="15" customHeight="1" s="144">
      <c r="A55" s="250" t="inlineStr">
        <is>
          <t>ALERT_SOUND_PATH_CEILING</t>
        </is>
      </c>
      <c r="B55" s="262" t="inlineStr">
        <is>
          <t>C:\Windows\Media\notify.wav</t>
        </is>
      </c>
      <c r="C55" s="239" t="inlineStr">
        <is>
          <t>C:\Windows\Media\notify.wav</t>
        </is>
      </c>
      <c r="D55" s="239" t="inlineStr">
        <is>
          <t>path</t>
        </is>
      </c>
      <c r="E55" s="261" t="inlineStr">
        <is>
          <t>Distinct tone for crossing MAX_ENTRY_Z. That is 'stand down', not 'get in'.</t>
        </is>
      </c>
    </row>
    <row r="56" ht="15" customHeight="1" s="144">
      <c r="A56" s="250" t="inlineStr">
        <is>
          <t>ALERT_REARM_MARGIN</t>
        </is>
      </c>
      <c r="B56" s="263" t="n">
        <v>0.25</v>
      </c>
      <c r="C56" s="264" t="n">
        <v>0.25</v>
      </c>
      <c r="D56" s="239" t="inlineStr">
        <is>
          <t>z</t>
        </is>
      </c>
      <c r="E56" s="261" t="inlineStr">
        <is>
          <t>Hysteresis. Do not re-arm until |z| falls back below ENTRY_Z - this margin.</t>
        </is>
      </c>
    </row>
    <row r="57" ht="15" customHeight="1" s="144">
      <c r="A57" s="250" t="inlineStr">
        <is>
          <t>ALERT_COOLDOWN_SEC</t>
        </is>
      </c>
      <c r="B57" s="260" t="n">
        <v>60</v>
      </c>
      <c r="C57" s="239" t="n">
        <v>60</v>
      </c>
      <c r="D57" s="239" t="inlineStr">
        <is>
          <t>s</t>
        </is>
      </c>
      <c r="E57" s="261" t="inlineStr">
        <is>
          <t>Minimum seconds between alerts for the same spread.</t>
        </is>
      </c>
    </row>
    <row r="58" ht="15" customHeight="1" s="144">
      <c r="A58" s="250" t="inlineStr">
        <is>
          <t>ALERT_ONLY_IF_EDGE_PASSES</t>
        </is>
      </c>
      <c r="B58" s="260" t="b">
        <v>0</v>
      </c>
      <c r="C58" s="239" t="b">
        <v>0</v>
      </c>
      <c r="D58" s="239" t="inlineStr">
        <is>
          <t>bool</t>
        </is>
      </c>
      <c r="E58" s="261" t="inlineStr">
        <is>
          <t>FALSE = the chime follows ENTRY_Z alone. TRUE = also stay silent when the edge filter fails, on the argument that a sound for a trade you should not take trains you to ignore the sound. Ships FALSE by request; the edge verdict is still shown on Detail.</t>
        </is>
      </c>
    </row>
    <row r="59" ht="15" customHeight="1" s="144">
      <c r="A59" s="250" t="inlineStr">
        <is>
          <t>ALERT_SPEAK</t>
        </is>
      </c>
      <c r="B59" s="260" t="b">
        <v>0</v>
      </c>
      <c r="C59" s="239" t="b">
        <v>0</v>
      </c>
      <c r="D59" s="239" t="inlineStr">
        <is>
          <t>bool</t>
        </is>
      </c>
      <c r="E59" s="261" t="inlineStr">
        <is>
          <t>TRUE also speaks the spread name (Application.Speech). Useful when watching four at once.</t>
        </is>
      </c>
    </row>
    <row r="61" ht="15" customHeight="1" s="144">
      <c r="A61" s="258" t="inlineStr">
        <is>
          <t>PERSISTENCE  /  LOGGING</t>
        </is>
      </c>
      <c r="B61" s="258" t="n"/>
      <c r="C61" s="258" t="n"/>
      <c r="D61" s="258" t="n"/>
      <c r="E61" s="258" t="n"/>
    </row>
    <row r="62" ht="15" customHeight="1" s="144">
      <c r="A62" s="259" t="inlineStr">
        <is>
          <t>Parameter</t>
        </is>
      </c>
      <c r="B62" s="259" t="inlineStr">
        <is>
          <t>Value</t>
        </is>
      </c>
      <c r="C62" s="259" t="inlineStr">
        <is>
          <t>Default</t>
        </is>
      </c>
      <c r="D62" s="259" t="inlineStr">
        <is>
          <t>Units</t>
        </is>
      </c>
      <c r="E62" s="259" t="inlineStr">
        <is>
          <t>Meaning</t>
        </is>
      </c>
    </row>
    <row r="63" ht="15" customHeight="1" s="144">
      <c r="A63" s="250" t="inlineStr">
        <is>
          <t>WARM_START_ENABLED</t>
        </is>
      </c>
      <c r="B63" s="260" t="b">
        <v>1</v>
      </c>
      <c r="C63" s="239" t="b">
        <v>1</v>
      </c>
      <c r="D63" s="239" t="inlineStr">
        <is>
          <t>bool</t>
        </is>
      </c>
      <c r="E63" s="261" t="inlineStr">
        <is>
          <t>On open, reload the flushed buffer so a restart does not cost another two hours of warm-up.</t>
        </is>
      </c>
    </row>
    <row r="64" ht="15" customHeight="1" s="144">
      <c r="A64" s="250" t="inlineStr">
        <is>
          <t>WARM_START_MAX_AGE_MIN</t>
        </is>
      </c>
      <c r="B64" s="260" t="n">
        <v>180</v>
      </c>
      <c r="C64" s="239" t="n">
        <v>180</v>
      </c>
      <c r="D64" s="239" t="inlineStr">
        <is>
          <t>min</t>
        </is>
      </c>
      <c r="E64" s="261" t="inlineStr">
        <is>
          <t>Only reload if the newest saved sample is younger than this.</t>
        </is>
      </c>
    </row>
    <row r="65" ht="15" customHeight="1" s="144">
      <c r="A65" s="250" t="inlineStr">
        <is>
          <t>LOG_ENABLED</t>
        </is>
      </c>
      <c r="B65" s="260" t="b">
        <v>1</v>
      </c>
      <c r="C65" s="239" t="b">
        <v>1</v>
      </c>
      <c r="D65" s="239" t="inlineStr">
        <is>
          <t>bool</t>
        </is>
      </c>
      <c r="E65" s="261" t="inlineStr">
        <is>
          <t>Write signal events to the Log sheet.</t>
        </is>
      </c>
    </row>
    <row r="66" ht="15" customHeight="1" s="144">
      <c r="A66" s="250" t="inlineStr">
        <is>
          <t>LOG_MAX_ROWS</t>
        </is>
      </c>
      <c r="B66" s="260" t="n">
        <v>20000</v>
      </c>
      <c r="C66" s="239" t="n">
        <v>20000</v>
      </c>
      <c r="D66" s="239" t="inlineStr">
        <is>
          <t>rows</t>
        </is>
      </c>
      <c r="E66" s="261" t="inlineStr">
        <is>
          <t>Log is trimmed to this many rows.</t>
        </is>
      </c>
    </row>
    <row r="68" ht="15" customHeight="1" s="144">
      <c r="A68" s="258" t="inlineStr">
        <is>
          <t>DERIVED COMMISSION  (formulas - do not edit)</t>
        </is>
      </c>
      <c r="B68" s="265" t="n"/>
      <c r="C68" s="265" t="n"/>
      <c r="D68" s="265" t="n"/>
      <c r="E68" s="265" t="n"/>
    </row>
    <row r="69" ht="15" customHeight="1" s="144">
      <c r="A69" s="259" t="inlineStr">
        <is>
          <t>Parameter</t>
        </is>
      </c>
      <c r="B69" s="259" t="inlineStr">
        <is>
          <t>Value</t>
        </is>
      </c>
      <c r="C69" s="259" t="inlineStr">
        <is>
          <t>Default</t>
        </is>
      </c>
      <c r="D69" s="259" t="inlineStr">
        <is>
          <t>Units</t>
        </is>
      </c>
      <c r="E69" s="259" t="inlineStr">
        <is>
          <t>Meaning</t>
        </is>
      </c>
    </row>
    <row r="70" ht="15" customHeight="1" s="144">
      <c r="A70" s="250" t="inlineStr">
        <is>
          <t>COMMISSION_CONSERVATIVE</t>
        </is>
      </c>
      <c r="B70" s="251">
        <f>2*(B47+B48+B49)</f>
        <v/>
      </c>
      <c r="E70" s="266" t="inlineStr">
        <is>
          <t>Per lot PER LEG, round turn, reading CME's 1.50 as per SIDE. This is the conservative reading and the one to use.</t>
        </is>
      </c>
    </row>
    <row r="71" ht="15" customHeight="1" s="144">
      <c r="A71" s="250" t="inlineStr">
        <is>
          <t>COMMISSION_IF_CME_PER_RT</t>
        </is>
      </c>
      <c r="B71" s="247">
        <f>2*(B47+B48)+B49</f>
        <v/>
      </c>
      <c r="E71" s="266" t="inlineStr">
        <is>
          <t>The same figure if CME's 1.50 turns out to be per ROUND TURN rather than per side.</t>
        </is>
      </c>
    </row>
    <row r="72" ht="15" customHeight="1" s="144">
      <c r="A72" s="250" t="inlineStr">
        <is>
          <t>COMMISSION_BASIS</t>
        </is>
      </c>
      <c r="B72" s="260" t="inlineStr">
        <is>
          <t>CONSERVATIVE</t>
        </is>
      </c>
      <c r="C72" s="239" t="inlineStr">
        <is>
          <t>CONSERVATIVE</t>
        </is>
      </c>
      <c r="E72" s="266" t="inlineStr">
        <is>
          <t>CONSERVATIVE or CME_PER_RT. An understated cost model approves losing trades invisibly; an overstated one only refuses trades, visibly. Leave it on CONSERVATIVE.</t>
        </is>
      </c>
    </row>
    <row r="73" ht="15" customHeight="1" s="144">
      <c r="A73" s="250" t="inlineStr">
        <is>
          <t>COMMISSION_PER_LOT_ROUND_TURN</t>
        </is>
      </c>
      <c r="B73" s="251">
        <f>IF(B72="CME_PER_RT",B71,B70)</f>
        <v/>
      </c>
      <c r="E73" s="266" t="inlineStr">
        <is>
          <t>USD per lot per leg, round turn. This is what the cost model actually uses.</t>
        </is>
      </c>
    </row>
    <row r="75" ht="15" customHeight="1" s="144">
      <c r="A75" s="258" t="inlineStr">
        <is>
          <t>SPREAD_TABLE_START   -   up to 4 monitored spreads, one buffer each</t>
        </is>
      </c>
      <c r="B75" s="265" t="n"/>
      <c r="C75" s="265" t="n"/>
      <c r="D75" s="265" t="n"/>
      <c r="E75" s="265" t="n"/>
      <c r="F75" s="265" t="n"/>
      <c r="G75" s="265" t="n"/>
      <c r="H75" s="265" t="n"/>
      <c r="I75" s="265" t="n"/>
      <c r="J75" s="265" t="n"/>
      <c r="K75" s="265" t="n"/>
    </row>
    <row r="76" ht="15" customHeight="1" s="144">
      <c r="A76" s="233" t="inlineStr">
        <is>
          <t>Leg COMPOSITION (which instruments, and their weights) is defined by the labelled formulas in the MONITOR LEGS block on the hidden Feed sheet. Everything below is hot-reloaded each tick.</t>
        </is>
      </c>
    </row>
    <row r="77" ht="32.8" customHeight="1" s="144">
      <c r="A77" s="259" t="inlineStr">
        <is>
          <t>Slot</t>
        </is>
      </c>
      <c r="B77" s="259" t="inlineStr">
        <is>
          <t>Enabled</t>
        </is>
      </c>
      <c r="C77" s="259" t="inlineStr">
        <is>
          <t>Display name</t>
        </is>
      </c>
      <c r="D77" s="259" t="inlineStr">
        <is>
          <t>Mode</t>
        </is>
      </c>
      <c r="E77" s="259" t="inlineStr">
        <is>
          <t>HEDGE_RATIO (beta)</t>
        </is>
      </c>
      <c r="F77" s="259" t="inlineStr">
        <is>
          <t>Beta stamped for pair</t>
        </is>
      </c>
      <c r="G77" s="259" t="inlineStr">
        <is>
          <t>USD per 1.00 of spread, per lot</t>
        </is>
      </c>
      <c r="H77" s="259" t="inlineStr">
        <is>
          <t>Contracts charged commission</t>
        </is>
      </c>
      <c r="I77" s="259" t="inlineStr">
        <is>
          <t>Tick size</t>
        </is>
      </c>
      <c r="J77" s="259" t="inlineStr">
        <is>
          <t>Decimals</t>
        </is>
      </c>
      <c r="K77" s="259" t="inlineStr">
        <is>
          <t>Listed equivalent (cost comparison)</t>
        </is>
      </c>
    </row>
    <row r="78" ht="15" customHeight="1" s="144">
      <c r="A78" s="252" t="inlineStr">
        <is>
          <t>SPREAD_1</t>
        </is>
      </c>
      <c r="B78" s="260" t="b">
        <v>1</v>
      </c>
      <c r="C78" s="262" t="inlineStr">
        <is>
          <t>BZ - CL  (Brent LDF - WTI)</t>
        </is>
      </c>
      <c r="D78" s="260" t="inlineStr">
        <is>
          <t>LEGGED</t>
        </is>
      </c>
      <c r="E78" s="267" t="n">
        <v>1</v>
      </c>
      <c r="F78" s="262" t="inlineStr">
        <is>
          <t>BZV6 / CLV6, derived 2026-08 (RELATED pair - no fair value, empirical mean only)</t>
        </is>
      </c>
      <c r="G78" s="268" t="n">
        <v>1000</v>
      </c>
      <c r="H78" s="269" t="n">
        <v>2</v>
      </c>
      <c r="I78" s="267" t="n">
        <v>0.01</v>
      </c>
      <c r="J78" s="269" t="n">
        <v>2</v>
      </c>
      <c r="K78" s="241" t="inlineStr">
        <is>
          <t>CL Oct26 - BZ Oct26 Inter-Product</t>
        </is>
      </c>
    </row>
    <row r="79" ht="15" customHeight="1" s="144">
      <c r="A79" s="252" t="inlineStr">
        <is>
          <t>SPREAD_2</t>
        </is>
      </c>
      <c r="B79" s="260" t="b">
        <v>1</v>
      </c>
      <c r="C79" s="262" t="inlineStr">
        <is>
          <t>HO/CL crack  (ULSD - WTI)</t>
        </is>
      </c>
      <c r="D79" s="260" t="inlineStr">
        <is>
          <t>LEGGED</t>
        </is>
      </c>
      <c r="E79" s="267" t="n">
        <v>1</v>
      </c>
      <c r="F79" s="262" t="inlineStr">
        <is>
          <t>HOV6 x42 / CLV6, 1:1 by design (crack, not a fitted beta)</t>
        </is>
      </c>
      <c r="G79" s="268" t="n">
        <v>1000</v>
      </c>
      <c r="H79" s="269" t="n">
        <v>2</v>
      </c>
      <c r="I79" s="267" t="n">
        <v>0.01</v>
      </c>
      <c r="J79" s="269" t="n">
        <v>2</v>
      </c>
      <c r="K79" s="241" t="inlineStr">
        <is>
          <t>Oct26 HO-CL Crack</t>
        </is>
      </c>
    </row>
    <row r="80" ht="15" customHeight="1" s="144">
      <c r="A80" s="252" t="inlineStr">
        <is>
          <t>SPREAD_3</t>
        </is>
      </c>
      <c r="B80" s="260" t="b">
        <v>1</v>
      </c>
      <c r="C80" s="262" t="inlineStr">
        <is>
          <t>3:2:1 crack  (2RB+1HO-3CL)/3</t>
        </is>
      </c>
      <c r="D80" s="260" t="inlineStr">
        <is>
          <t>LEGGED</t>
        </is>
      </c>
      <c r="E80" s="267" t="n">
        <v>1</v>
      </c>
      <c r="F80" s="262" t="inlineStr">
        <is>
          <t>RBV6/HOV6/CLV6, structural 3:2:1 - not a fitted beta</t>
        </is>
      </c>
      <c r="G80" s="268" t="n">
        <v>3000</v>
      </c>
      <c r="H80" s="269" t="n">
        <v>6</v>
      </c>
      <c r="I80" s="267" t="n">
        <v>0.01</v>
      </c>
      <c r="J80" s="269" t="n">
        <v>2</v>
      </c>
      <c r="K80" s="241" t="inlineStr">
        <is>
          <t>(none listed)</t>
        </is>
      </c>
    </row>
    <row r="81" ht="15" customHeight="1" s="144">
      <c r="A81" s="252" t="inlineStr">
        <is>
          <t>SPREAD_4</t>
        </is>
      </c>
      <c r="B81" s="260" t="b">
        <v>1</v>
      </c>
      <c r="C81" s="262" t="inlineStr">
        <is>
          <t>CL-BZ Inter-Product (listed)</t>
        </is>
      </c>
      <c r="D81" s="260" t="inlineStr">
        <is>
          <t>LISTED</t>
        </is>
      </c>
      <c r="E81" s="267" t="n">
        <v>1</v>
      </c>
      <c r="F81" s="262" t="inlineStr">
        <is>
          <t>Exchange-listed spread - beta not applicable</t>
        </is>
      </c>
      <c r="G81" s="268" t="n">
        <v>1000</v>
      </c>
      <c r="H81" s="269" t="n">
        <v>2</v>
      </c>
      <c r="I81" s="267" t="n">
        <v>0.01</v>
      </c>
      <c r="J81" s="269" t="n">
        <v>2</v>
      </c>
      <c r="K81" s="241" t="inlineStr">
        <is>
          <t>n/a - this IS the listed spread</t>
        </is>
      </c>
    </row>
    <row r="83" ht="15" customHeight="1" s="144">
      <c r="A83" s="255" t="inlineStr">
        <is>
          <t>HEDGE RATIO BELONGS TO THE PAIR. If the instruments change, beta must be re-derived - a stale beta silently redefines the series. Column F stamps what each beta was computed for.</t>
        </is>
      </c>
    </row>
    <row r="84" ht="15" customHeight="1" s="144">
      <c r="A84" s="233" t="inlineStr">
        <is>
          <t>Contracts charged: BZ-CL and the listed spread are 2 contracts per lot (one per leg); the 3:2:1 crack is 6 (2 RB + 1 HO + 3 CL).</t>
        </is>
      </c>
    </row>
    <row r="85" ht="15" customHeight="1" s="144">
      <c r="A85" s="233" t="inlineStr">
        <is>
          <t>USD per 1.00 of spread: NYMEX energy contracts are 1,000 bbl, so one cent of differential is $10 per leg per lot, i.e. $1,000 per 1.00.</t>
        </is>
      </c>
    </row>
    <row r="87" ht="15" customHeight="1" s="144">
      <c r="A87" s="255" t="inlineStr">
        <is>
          <t>NOTIONAL_BASIS - read this before changing it:</t>
        </is>
      </c>
    </row>
    <row r="88" ht="15" customHeight="1" s="144">
      <c r="A88" s="233" t="inlineStr">
        <is>
          <t>A spread is not an outright, so 'notional' has no single meaning. At 1 lot with CL near $60 and BZ-CL near $7.20:  SPREAD_VALUE ~ $7,200, ONE_LEG ~ $60,000, BOTH_LEGS ~ $127,000.</t>
        </is>
      </c>
    </row>
    <row r="89" ht="15" customHeight="1" s="144">
      <c r="A89" s="270" t="inlineStr">
        <is>
          <t>1% of those is $72, $600 and $1,270. If sigma on this spread turns out to be ~5 cents ($50), only the first is reachable - the others need the spread to travel 12 or 25 sigma, which it will not do. Watch the TP-in-sigma cell on the Dashboard: above about 1 sigma it turns amber.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I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142" min="1" max="1"/>
    <col width="34" customWidth="1" style="142" min="2" max="2"/>
    <col width="13" customWidth="1" style="142" min="3" max="8"/>
    <col width="60" customWidth="1" style="142" min="9" max="9"/>
  </cols>
  <sheetData>
    <row r="1" ht="16.15" customHeight="1" s="144">
      <c r="A1" s="271" t="inlineStr">
        <is>
          <t>FEED  -  hidden.  Every RTD() formula lives here.</t>
        </is>
      </c>
    </row>
    <row r="2" ht="15" customHeight="1" s="144">
      <c r="A2" s="272" t="inlineStr">
        <is>
          <t>Market</t>
        </is>
      </c>
      <c r="B2" s="273">
        <f>Dashboard!$C$4</f>
        <v/>
      </c>
    </row>
    <row r="3" ht="15" customHeight="1" s="144">
      <c r="A3" s="255" t="inlineStr">
        <is>
          <t>Never put an RTD() formula on Dashboard: a cell holding one repaints whenever the feed moves, and that cannot be prevented while the formula is in the cell.</t>
        </is>
      </c>
    </row>
    <row r="5" ht="15" customHeight="1" s="144">
      <c r="A5" s="274" t="inlineStr">
        <is>
          <t>INSTRUMENTS</t>
        </is>
      </c>
      <c r="B5" s="235" t="inlineStr">
        <is>
          <t>Instrument ID</t>
        </is>
      </c>
      <c r="C5" s="235" t="inlineStr">
        <is>
          <t>Bid</t>
        </is>
      </c>
      <c r="D5" s="235" t="inlineStr">
        <is>
          <t>Ask</t>
        </is>
      </c>
      <c r="E5" s="235" t="inlineStr">
        <is>
          <t>High</t>
        </is>
      </c>
      <c r="F5" s="235" t="inlineStr">
        <is>
          <t>Low</t>
        </is>
      </c>
      <c r="G5" s="235" t="inlineStr">
        <is>
          <t>Mid</t>
        </is>
      </c>
      <c r="H5" s="235" t="inlineStr">
        <is>
          <t>Width</t>
        </is>
      </c>
    </row>
    <row r="6" ht="15" customHeight="1" s="144">
      <c r="A6" s="236" t="inlineStr">
        <is>
          <t>RBV6</t>
        </is>
      </c>
      <c r="B6" s="275">
        <f>RTD("tt.rtd",,"Inst",$B$2,$A6)</f>
        <v/>
      </c>
      <c r="C6" s="275">
        <f>IFERROR(IF(OR($B6="",LEFT($B6,4)="Not_"),"",VALUE(RTD("tt.rtd",,$B6,"Bid"))),"")</f>
        <v/>
      </c>
      <c r="D6" s="275">
        <f>IFERROR(IF(OR($B6="",LEFT($B6,4)="Not_"),"",VALUE(RTD("tt.rtd",,$B6,"Ask"))),"")</f>
        <v/>
      </c>
      <c r="E6" s="275">
        <f>IFERROR(IF(OR($B6="",LEFT($B6,4)="Not_"),"",VALUE(RTD("tt.rtd",,$B6,"High"))),"")</f>
        <v/>
      </c>
      <c r="F6" s="275">
        <f>IFERROR(IF(OR($B6="",LEFT($B6,4)="Not_"),"",VALUE(RTD("tt.rtd",,$B6,"Low"))),"")</f>
        <v/>
      </c>
      <c r="G6" s="275">
        <f>IF(OR($C6="",$D6=""),"",($C6+$D6)/2)</f>
        <v/>
      </c>
      <c r="H6" s="275">
        <f>IF(OR($C6="",$D6=""),"",$D6-$C6)</f>
        <v/>
      </c>
      <c r="I6" s="276" t="inlineStr">
        <is>
          <t>RBOB Gasoline Oct26</t>
        </is>
      </c>
    </row>
    <row r="7" ht="15" customHeight="1" s="144">
      <c r="A7" s="236" t="inlineStr">
        <is>
          <t>HOV6</t>
        </is>
      </c>
      <c r="B7" s="275">
        <f>RTD("tt.rtd",,"Inst",$B$2,$A7)</f>
        <v/>
      </c>
      <c r="C7" s="275">
        <f>IFERROR(IF(OR($B7="",LEFT($B7,4)="Not_"),"",VALUE(RTD("tt.rtd",,$B7,"Bid"))),"")</f>
        <v/>
      </c>
      <c r="D7" s="275">
        <f>IFERROR(IF(OR($B7="",LEFT($B7,4)="Not_"),"",VALUE(RTD("tt.rtd",,$B7,"Ask"))),"")</f>
        <v/>
      </c>
      <c r="E7" s="275">
        <f>IFERROR(IF(OR($B7="",LEFT($B7,4)="Not_"),"",VALUE(RTD("tt.rtd",,$B7,"High"))),"")</f>
        <v/>
      </c>
      <c r="F7" s="275">
        <f>IFERROR(IF(OR($B7="",LEFT($B7,4)="Not_"),"",VALUE(RTD("tt.rtd",,$B7,"Low"))),"")</f>
        <v/>
      </c>
      <c r="G7" s="275">
        <f>IF(OR($C7="",$D7=""),"",($C7+$D7)/2)</f>
        <v/>
      </c>
      <c r="H7" s="275">
        <f>IF(OR($C7="",$D7=""),"",$D7-$C7)</f>
        <v/>
      </c>
      <c r="I7" s="276" t="inlineStr">
        <is>
          <t>NY Harbor ULSD Oct26</t>
        </is>
      </c>
    </row>
    <row r="8" ht="15" customHeight="1" s="144">
      <c r="A8" s="236" t="inlineStr">
        <is>
          <t>CLV6</t>
        </is>
      </c>
      <c r="B8" s="275">
        <f>RTD("tt.rtd",,"Inst",$B$2,$A8)</f>
        <v/>
      </c>
      <c r="C8" s="275">
        <f>IFERROR(IF(OR($B8="",LEFT($B8,4)="Not_"),"",VALUE(RTD("tt.rtd",,$B8,"Bid"))),"")</f>
        <v/>
      </c>
      <c r="D8" s="275">
        <f>IFERROR(IF(OR($B8="",LEFT($B8,4)="Not_"),"",VALUE(RTD("tt.rtd",,$B8,"Ask"))),"")</f>
        <v/>
      </c>
      <c r="E8" s="275">
        <f>IFERROR(IF(OR($B8="",LEFT($B8,4)="Not_"),"",VALUE(RTD("tt.rtd",,$B8,"High"))),"")</f>
        <v/>
      </c>
      <c r="F8" s="275">
        <f>IFERROR(IF(OR($B8="",LEFT($B8,4)="Not_"),"",VALUE(RTD("tt.rtd",,$B8,"Low"))),"")</f>
        <v/>
      </c>
      <c r="G8" s="275">
        <f>IF(OR($C8="",$D8=""),"",($C8+$D8)/2)</f>
        <v/>
      </c>
      <c r="H8" s="275">
        <f>IF(OR($C8="",$D8=""),"",$D8-$C8)</f>
        <v/>
      </c>
      <c r="I8" s="276" t="inlineStr">
        <is>
          <t>WTI Crude Oct26</t>
        </is>
      </c>
    </row>
    <row r="9" ht="15" customHeight="1" s="144">
      <c r="A9" s="236" t="inlineStr">
        <is>
          <t>BZV6</t>
        </is>
      </c>
      <c r="B9" s="275">
        <f>RTD("tt.rtd",,"Inst",$B$2,$A9)</f>
        <v/>
      </c>
      <c r="C9" s="275">
        <f>IFERROR(IF(OR($B9="",LEFT($B9,4)="Not_"),"",VALUE(RTD("tt.rtd",,$B9,"Bid"))),"")</f>
        <v/>
      </c>
      <c r="D9" s="275">
        <f>IFERROR(IF(OR($B9="",LEFT($B9,4)="Not_"),"",VALUE(RTD("tt.rtd",,$B9,"Ask"))),"")</f>
        <v/>
      </c>
      <c r="E9" s="275">
        <f>IFERROR(IF(OR($B9="",LEFT($B9,4)="Not_"),"",VALUE(RTD("tt.rtd",,$B9,"High"))),"")</f>
        <v/>
      </c>
      <c r="F9" s="275">
        <f>IFERROR(IF(OR($B9="",LEFT($B9,4)="Not_"),"",VALUE(RTD("tt.rtd",,$B9,"Low"))),"")</f>
        <v/>
      </c>
      <c r="G9" s="275">
        <f>IF(OR($C9="",$D9=""),"",($C9+$D9)/2)</f>
        <v/>
      </c>
      <c r="H9" s="275">
        <f>IF(OR($C9="",$D9=""),"",$D9-$C9)</f>
        <v/>
      </c>
      <c r="I9" s="276" t="inlineStr">
        <is>
          <t>Brent Last Day Financial Oct26</t>
        </is>
      </c>
    </row>
    <row r="10" ht="15" customHeight="1" s="144">
      <c r="A10" s="236" t="inlineStr">
        <is>
          <t>CL Oct26 - BZ Oct26 Inter-Product</t>
        </is>
      </c>
      <c r="B10" s="275">
        <f>RTD("tt.rtd",,"Inst",$B$2,$A10)</f>
        <v/>
      </c>
      <c r="C10" s="275">
        <f>IFERROR(IF(OR($B10="",LEFT($B10,4)="Not_"),"",VALUE(RTD("tt.rtd",,$B10,"Bid"))),"")</f>
        <v/>
      </c>
      <c r="D10" s="275">
        <f>IFERROR(IF(OR($B10="",LEFT($B10,4)="Not_"),"",VALUE(RTD("tt.rtd",,$B10,"Ask"))),"")</f>
        <v/>
      </c>
      <c r="E10" s="275">
        <f>IFERROR(IF(OR($B10="",LEFT($B10,4)="Not_"),"",VALUE(RTD("tt.rtd",,$B10,"High"))),"")</f>
        <v/>
      </c>
      <c r="F10" s="275">
        <f>IFERROR(IF(OR($B10="",LEFT($B10,4)="Not_"),"",VALUE(RTD("tt.rtd",,$B10,"Low"))),"")</f>
        <v/>
      </c>
      <c r="G10" s="275">
        <f>IF(OR($C10="",$D10=""),"",($C10+$D10)/2)</f>
        <v/>
      </c>
      <c r="H10" s="275">
        <f>IF(OR($C10="",$D10=""),"",$D10-$C10)</f>
        <v/>
      </c>
      <c r="I10" s="276" t="inlineStr">
        <is>
          <t>Exchange-listed inter-product spread</t>
        </is>
      </c>
    </row>
    <row r="11" ht="15" customHeight="1" s="144">
      <c r="A11" s="236" t="inlineStr">
        <is>
          <t>Oct26 HO-CL Crack</t>
        </is>
      </c>
      <c r="B11" s="275">
        <f>RTD("tt.rtd",,"Inst",$B$2,$A11)</f>
        <v/>
      </c>
      <c r="C11" s="275">
        <f>IFERROR(IF(OR($B11="",LEFT($B11,4)="Not_"),"",VALUE(RTD("tt.rtd",,$B11,"Bid"))),"")</f>
        <v/>
      </c>
      <c r="D11" s="275">
        <f>IFERROR(IF(OR($B11="",LEFT($B11,4)="Not_"),"",VALUE(RTD("tt.rtd",,$B11,"Ask"))),"")</f>
        <v/>
      </c>
      <c r="E11" s="275">
        <f>IFERROR(IF(OR($B11="",LEFT($B11,4)="Not_"),"",VALUE(RTD("tt.rtd",,$B11,"High"))),"")</f>
        <v/>
      </c>
      <c r="F11" s="275">
        <f>IFERROR(IF(OR($B11="",LEFT($B11,4)="Not_"),"",VALUE(RTD("tt.rtd",,$B11,"Low"))),"")</f>
        <v/>
      </c>
      <c r="G11" s="275">
        <f>IF(OR($C11="",$D11=""),"",($C11+$D11)/2)</f>
        <v/>
      </c>
      <c r="H11" s="275">
        <f>IF(OR($C11="",$D11=""),"",$D11-$C11)</f>
        <v/>
      </c>
      <c r="I11" s="276" t="inlineStr">
        <is>
          <t>Exchange-listed crack spread</t>
        </is>
      </c>
    </row>
    <row r="15" ht="15" customHeight="1" s="144">
      <c r="A15" s="274" t="inlineStr">
        <is>
          <t>DERIVED &amp; LISTED SPREADS (display)</t>
        </is>
      </c>
      <c r="B15" s="235" t="inlineStr">
        <is>
          <t>Basis</t>
        </is>
      </c>
      <c r="C15" s="235" t="inlineStr">
        <is>
          <t>Bid</t>
        </is>
      </c>
      <c r="D15" s="235" t="inlineStr">
        <is>
          <t>Ask</t>
        </is>
      </c>
      <c r="E15" s="235" t="inlineStr">
        <is>
          <t>Mid</t>
        </is>
      </c>
      <c r="F15" s="235" t="inlineStr">
        <is>
          <t>Width</t>
        </is>
      </c>
    </row>
    <row r="16" ht="15" customHeight="1" s="144">
      <c r="A16" s="236" t="inlineStr">
        <is>
          <t>BZ - CL</t>
        </is>
      </c>
      <c r="B16" s="243" t="inlineStr">
        <is>
          <t>legged</t>
        </is>
      </c>
      <c r="C16" s="275">
        <f>IF(OR($C$9="",$D$8=""),"",$C$9-$D$8)</f>
        <v/>
      </c>
      <c r="D16" s="275">
        <f>IF(OR($D$9="",$C$8=""),"",$D$9-$C$8)</f>
        <v/>
      </c>
      <c r="E16" s="275">
        <f>IF(OR($G$9="",$G$8=""),"",$G$9-$G$8)</f>
        <v/>
      </c>
      <c r="F16" s="275">
        <f>IF(OR($C16="",$D16=""),"",$D16-$C16)</f>
        <v/>
      </c>
    </row>
    <row r="17" ht="15" customHeight="1" s="144">
      <c r="A17" s="236" t="inlineStr">
        <is>
          <t>HO/CL crack</t>
        </is>
      </c>
      <c r="B17" s="243" t="inlineStr">
        <is>
          <t>legged</t>
        </is>
      </c>
      <c r="C17" s="275">
        <f>IF(OR($C$7="",$D$8=""),"",$C$7*42-$D$8)</f>
        <v/>
      </c>
      <c r="D17" s="275">
        <f>IF(OR($D$7="",$C$8=""),"",$D$7*42-$C$8)</f>
        <v/>
      </c>
      <c r="E17" s="275">
        <f>IF(OR($G$7="",$G$8=""),"",$G$7*42-$G$8)</f>
        <v/>
      </c>
      <c r="F17" s="275">
        <f>IF(OR($C17="",$D17=""),"",$D17-$C17)</f>
        <v/>
      </c>
    </row>
    <row r="18" ht="15" customHeight="1" s="144">
      <c r="A18" s="236" t="inlineStr">
        <is>
          <t>3:2:1 crack</t>
        </is>
      </c>
      <c r="B18" s="243" t="inlineStr">
        <is>
          <t>legged</t>
        </is>
      </c>
      <c r="C18" s="275">
        <f>IF(OR($C$6="",$C$7="",$D$8=""),"",(($C$6*2*42)+($C$7*1*42)-($D$8*3))/3)</f>
        <v/>
      </c>
      <c r="D18" s="275">
        <f>IF(OR($D$6="",$D$7="",$C$8=""),"",(($D$6*2*42)+($D$7*1*42)-($C$8*3))/3)</f>
        <v/>
      </c>
      <c r="E18" s="275">
        <f>IF(OR($G$6="",$G$7="",$G$8=""),"",(($G$6*2*42)+($G$7*1*42)-($G$8*3))/3)</f>
        <v/>
      </c>
      <c r="F18" s="275">
        <f>IF(OR($C18="",$D18=""),"",$D18-$C18)</f>
        <v/>
      </c>
    </row>
    <row r="19" ht="15" customHeight="1" s="144">
      <c r="A19" s="236" t="inlineStr">
        <is>
          <t>CL Oct26 - BZ Oct26 Inter-Product</t>
        </is>
      </c>
      <c r="B19" s="243" t="inlineStr">
        <is>
          <t>listed</t>
        </is>
      </c>
      <c r="C19" s="275">
        <f>$C$10</f>
        <v/>
      </c>
      <c r="D19" s="275">
        <f>$D$10</f>
        <v/>
      </c>
      <c r="E19" s="275">
        <f>$G$10</f>
        <v/>
      </c>
      <c r="F19" s="275">
        <f>IF(OR($C19="",$D19=""),"",$D19-$C19)</f>
        <v/>
      </c>
    </row>
    <row r="20" ht="15" customHeight="1" s="144">
      <c r="A20" s="236" t="inlineStr">
        <is>
          <t>Oct26 HO-CL Crack</t>
        </is>
      </c>
      <c r="B20" s="243" t="inlineStr">
        <is>
          <t>listed</t>
        </is>
      </c>
      <c r="C20" s="275">
        <f>$C$11</f>
        <v/>
      </c>
      <c r="D20" s="275">
        <f>$D$11</f>
        <v/>
      </c>
      <c r="E20" s="275">
        <f>$G$11</f>
        <v/>
      </c>
      <c r="F20" s="275">
        <f>IF(OR($C20="",$D20=""),"",$D20-$C20)</f>
        <v/>
      </c>
    </row>
    <row r="23" ht="15" customHeight="1" s="144">
      <c r="A23" s="277" t="inlineStr">
        <is>
          <t>MONITOR LEGS</t>
        </is>
      </c>
      <c r="B23" s="233" t="inlineStr">
        <is>
          <t>Edit these formulas to redefine what a monitored spread is made of. spread = LegB - HEDGE_RATIO x LegA, and nothing else - no carry, no fair-value term.</t>
        </is>
      </c>
    </row>
    <row r="24" ht="15" customHeight="1" s="144">
      <c r="A24" s="235" t="inlineStr">
        <is>
          <t>Slot</t>
        </is>
      </c>
      <c r="B24" s="235" t="inlineStr">
        <is>
          <t>Side</t>
        </is>
      </c>
      <c r="C24" s="235" t="inlineStr">
        <is>
          <t>Composition</t>
        </is>
      </c>
      <c r="D24" s="235" t="inlineStr">
        <is>
          <t>Bid</t>
        </is>
      </c>
      <c r="E24" s="235" t="inlineStr">
        <is>
          <t>Ask</t>
        </is>
      </c>
      <c r="F24" s="235" t="inlineStr">
        <is>
          <t>Mid</t>
        </is>
      </c>
    </row>
    <row r="25" ht="15" customHeight="1" s="144">
      <c r="A25" s="278" t="n">
        <v>1</v>
      </c>
      <c r="B25" s="252" t="inlineStr">
        <is>
          <t>LegA</t>
        </is>
      </c>
      <c r="C25" s="279" t="inlineStr">
        <is>
          <t>CLV6</t>
        </is>
      </c>
      <c r="D25" s="275">
        <f>$C$8</f>
        <v/>
      </c>
      <c r="E25" s="275">
        <f>$D$8</f>
        <v/>
      </c>
      <c r="F25" s="275">
        <f>$G$8</f>
        <v/>
      </c>
    </row>
    <row r="26" ht="15" customHeight="1" s="144">
      <c r="A26" s="278" t="n">
        <v>1</v>
      </c>
      <c r="B26" s="252" t="inlineStr">
        <is>
          <t>LegB</t>
        </is>
      </c>
      <c r="C26" s="279" t="inlineStr">
        <is>
          <t>BZV6</t>
        </is>
      </c>
      <c r="D26" s="275">
        <f>$C$9</f>
        <v/>
      </c>
      <c r="E26" s="275">
        <f>$D$9</f>
        <v/>
      </c>
      <c r="F26" s="275">
        <f>$G$9</f>
        <v/>
      </c>
    </row>
    <row r="27" ht="15" customHeight="1" s="144">
      <c r="A27" s="278" t="n">
        <v>2</v>
      </c>
      <c r="B27" s="252" t="inlineStr">
        <is>
          <t>LegA</t>
        </is>
      </c>
      <c r="C27" s="279" t="inlineStr">
        <is>
          <t>CLV6</t>
        </is>
      </c>
      <c r="D27" s="275">
        <f>$C$8</f>
        <v/>
      </c>
      <c r="E27" s="275">
        <f>$D$8</f>
        <v/>
      </c>
      <c r="F27" s="275">
        <f>$G$8</f>
        <v/>
      </c>
    </row>
    <row r="28" ht="15" customHeight="1" s="144">
      <c r="A28" s="278" t="n">
        <v>2</v>
      </c>
      <c r="B28" s="252" t="inlineStr">
        <is>
          <t>LegB</t>
        </is>
      </c>
      <c r="C28" s="279" t="inlineStr">
        <is>
          <t>HOV6 x 42</t>
        </is>
      </c>
      <c r="D28" s="275">
        <f>IF($C$7="","",$C$7*42)</f>
        <v/>
      </c>
      <c r="E28" s="275">
        <f>IF($D$7="","",$D$7*42)</f>
        <v/>
      </c>
      <c r="F28" s="275">
        <f>IF($G$7="","",$G$7*42)</f>
        <v/>
      </c>
    </row>
    <row r="29" ht="15" customHeight="1" s="144">
      <c r="A29" s="278" t="n">
        <v>3</v>
      </c>
      <c r="B29" s="252" t="inlineStr">
        <is>
          <t>LegA</t>
        </is>
      </c>
      <c r="C29" s="279" t="inlineStr">
        <is>
          <t>CLV6</t>
        </is>
      </c>
      <c r="D29" s="275">
        <f>$C$8</f>
        <v/>
      </c>
      <c r="E29" s="275">
        <f>$D$8</f>
        <v/>
      </c>
      <c r="F29" s="275">
        <f>$G$8</f>
        <v/>
      </c>
    </row>
    <row r="30" ht="15" customHeight="1" s="144">
      <c r="A30" s="278" t="n">
        <v>3</v>
      </c>
      <c r="B30" s="252" t="inlineStr">
        <is>
          <t>LegB</t>
        </is>
      </c>
      <c r="C30" s="279" t="inlineStr">
        <is>
          <t>(2 x RBV6 + 1 x HOV6) x 42 / 3</t>
        </is>
      </c>
      <c r="D30" s="275">
        <f>IF(OR($C$6="",$C$7=""),"",($C$6*2*42+$C$7*1*42)/3)</f>
        <v/>
      </c>
      <c r="E30" s="275">
        <f>IF(OR($D$6="",$D$7=""),"",($D$6*2*42+$D$7*1*42)/3)</f>
        <v/>
      </c>
      <c r="F30" s="275">
        <f>IF(OR($G$6="",$G$7=""),"",($G$6*2*42+$G$7*1*42)/3)</f>
        <v/>
      </c>
    </row>
    <row r="31" ht="15" customHeight="1" s="144">
      <c r="A31" s="278" t="n">
        <v>4</v>
      </c>
      <c r="B31" s="252" t="inlineStr">
        <is>
          <t>LegA</t>
        </is>
      </c>
      <c r="C31" s="279" t="inlineStr">
        <is>
          <t>(none - LISTED spread)</t>
        </is>
      </c>
      <c r="D31" s="275" t="inlineStr"/>
      <c r="E31" s="275" t="inlineStr"/>
      <c r="F31" s="275" t="inlineStr"/>
    </row>
    <row r="32" ht="15" customHeight="1" s="144">
      <c r="A32" s="278" t="n">
        <v>4</v>
      </c>
      <c r="B32" s="252" t="inlineStr">
        <is>
          <t>LegB</t>
        </is>
      </c>
      <c r="C32" s="279" t="inlineStr">
        <is>
          <t>CL Oct26 - BZ Oct26 Inter-Product</t>
        </is>
      </c>
      <c r="D32" s="275">
        <f>$C$10</f>
        <v/>
      </c>
      <c r="E32" s="275">
        <f>$D$10</f>
        <v/>
      </c>
      <c r="F32" s="275">
        <f>$G$10</f>
        <v/>
      </c>
    </row>
    <row r="34" ht="15" customHeight="1" s="144">
      <c r="A34" s="277" t="inlineStr">
        <is>
          <t>LISTED-EQUIVALENT ROW PER SLOT  (for the side-by-side crossing-cost comparison)</t>
        </is>
      </c>
    </row>
    <row r="35" ht="15" customHeight="1" s="144">
      <c r="A35" s="235" t="inlineStr">
        <is>
          <t>Slot</t>
        </is>
      </c>
      <c r="B35" s="235" t="inlineStr">
        <is>
          <t>Feed derived row</t>
        </is>
      </c>
      <c r="C35" s="235" t="inlineStr">
        <is>
          <t>Name</t>
        </is>
      </c>
    </row>
    <row r="36" ht="15" customHeight="1" s="144">
      <c r="A36" s="278" t="n">
        <v>1</v>
      </c>
      <c r="B36" s="278" t="n">
        <v>19</v>
      </c>
      <c r="C36" s="279" t="inlineStr">
        <is>
          <t>CL Oct26 - BZ Oct26 Inter-Product</t>
        </is>
      </c>
    </row>
    <row r="37" ht="15" customHeight="1" s="144">
      <c r="A37" s="278" t="n">
        <v>2</v>
      </c>
      <c r="B37" s="278" t="n">
        <v>20</v>
      </c>
      <c r="C37" s="279" t="inlineStr">
        <is>
          <t>Oct26 HO-CL Crack</t>
        </is>
      </c>
    </row>
    <row r="38" ht="15" customHeight="1" s="144">
      <c r="A38" s="278" t="n">
        <v>3</v>
      </c>
      <c r="B38" s="278" t="n"/>
      <c r="C38" s="279" t="inlineStr">
        <is>
          <t>(none)</t>
        </is>
      </c>
    </row>
    <row r="39" ht="15" customHeight="1" s="144">
      <c r="A39" s="278" t="n">
        <v>4</v>
      </c>
      <c r="B39" s="278" t="n">
        <v>19</v>
      </c>
      <c r="C39" s="279" t="inlineStr">
        <is>
          <t>CL Oct26 - BZ Oct26 Inter-Product</t>
        </is>
      </c>
    </row>
    <row r="41" ht="15" customHeight="1" s="144">
      <c r="A41" s="233" t="inlineStr">
        <is>
          <t>Crossing convention used throughout:  spread bid = LegB bid - beta x LegA ask ; spread ask = LegB ask - beta x LegA bid ; spread mid = LegB mid - beta x LegA mid.</t>
        </is>
      </c>
    </row>
    <row r="42" ht="15" customHeight="1" s="144">
      <c r="A42" s="233" t="inlineStr">
        <is>
          <t>For a LISTED slot LegA is empty and is treated as zero, so the listed quote passes straight through untouched.</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5" customWidth="1" style="142" min="1" max="2"/>
    <col width="3" customWidth="1" style="142" min="3" max="3"/>
    <col width="15" customWidth="1" style="142" min="4" max="5"/>
    <col width="3" customWidth="1" style="142" min="6" max="6"/>
    <col width="15" customWidth="1" style="142" min="7" max="8"/>
    <col width="3" customWidth="1" style="142" min="9" max="9"/>
    <col width="15" customWidth="1" style="142" min="10" max="11"/>
    <col width="26" customWidth="1" style="142" min="13" max="13"/>
    <col width="30" customWidth="1" style="142" min="14" max="14"/>
  </cols>
  <sheetData>
    <row r="1" ht="15" customHeight="1" s="144">
      <c r="A1" s="280" t="inlineStr">
        <is>
          <t>BUFFER  -  hidden.  Flushed circular buffers (crash / restart recovery).</t>
        </is>
      </c>
      <c r="M1" s="233" t="inlineStr">
        <is>
          <t>Written by VBA every FLUSH_SEC seconds, so a crash loses at most a minute.</t>
        </is>
      </c>
    </row>
    <row r="2" ht="15" customHeight="1" s="144">
      <c r="M2" s="233" t="inlineStr">
        <is>
          <t>On open, WarmStart reloads a slot only if its stamped LOOKBACK_MIN, HEDGE_RATIO and leg labels still match Config, and the newest sample is younger than WARM_START_MAX_AGE_MIN.</t>
        </is>
      </c>
    </row>
    <row r="3" ht="15" customHeight="1" s="144">
      <c r="A3" s="277" t="inlineStr">
        <is>
          <t>SLOT 1</t>
        </is>
      </c>
      <c r="D3" s="277" t="inlineStr">
        <is>
          <t>SLOT 2</t>
        </is>
      </c>
      <c r="G3" s="277" t="inlineStr">
        <is>
          <t>SLOT 3</t>
        </is>
      </c>
      <c r="J3" s="277" t="inlineStr">
        <is>
          <t>SLOT 4</t>
        </is>
      </c>
      <c r="M3" s="233" t="inlineStr">
        <is>
          <t>Elapsed collection is credited from the OLDEST recovered sample - otherwise every restart costs another two hours before a usable z.</t>
        </is>
      </c>
    </row>
    <row r="4" ht="15" customHeight="1" s="144">
      <c r="A4" s="276" t="inlineStr">
        <is>
          <t>Name</t>
        </is>
      </c>
      <c r="B4" s="275" t="n"/>
      <c r="D4" s="276" t="inlineStr">
        <is>
          <t>Name</t>
        </is>
      </c>
      <c r="E4" s="275" t="n"/>
      <c r="G4" s="276" t="inlineStr">
        <is>
          <t>Name</t>
        </is>
      </c>
      <c r="H4" s="275" t="n"/>
      <c r="J4" s="276" t="inlineStr">
        <is>
          <t>Name</t>
        </is>
      </c>
      <c r="K4" s="275" t="n"/>
      <c r="M4" s="233" t="inlineStr">
        <is>
          <t>Seeding drops CONSECUTIVE identical values only. A spread genuinely revisiting a level is a real observation, not a duplicate.</t>
        </is>
      </c>
    </row>
    <row r="5" ht="15" customHeight="1" s="144">
      <c r="A5" s="276" t="inlineStr">
        <is>
          <t>Legs</t>
        </is>
      </c>
      <c r="B5" s="275" t="n"/>
      <c r="D5" s="276" t="inlineStr">
        <is>
          <t>Legs</t>
        </is>
      </c>
      <c r="E5" s="275" t="n"/>
      <c r="G5" s="276" t="inlineStr">
        <is>
          <t>Legs</t>
        </is>
      </c>
      <c r="H5" s="275" t="n"/>
      <c r="J5" s="276" t="inlineStr">
        <is>
          <t>Legs</t>
        </is>
      </c>
      <c r="K5" s="275" t="n"/>
    </row>
    <row r="6" ht="15" customHeight="1" s="144">
      <c r="A6" s="276" t="inlineStr">
        <is>
          <t>HEDGE_RATIO</t>
        </is>
      </c>
      <c r="B6" s="275" t="n"/>
      <c r="D6" s="276" t="inlineStr">
        <is>
          <t>HEDGE_RATIO</t>
        </is>
      </c>
      <c r="E6" s="275" t="n"/>
      <c r="G6" s="276" t="inlineStr">
        <is>
          <t>HEDGE_RATIO</t>
        </is>
      </c>
      <c r="H6" s="275" t="n"/>
      <c r="J6" s="276" t="inlineStr">
        <is>
          <t>HEDGE_RATIO</t>
        </is>
      </c>
      <c r="K6" s="275" t="n"/>
    </row>
    <row r="7" ht="15" customHeight="1" s="144">
      <c r="A7" s="276" t="inlineStr">
        <is>
          <t>LOOKBACK_MIN</t>
        </is>
      </c>
      <c r="B7" s="275" t="n"/>
      <c r="D7" s="276" t="inlineStr">
        <is>
          <t>LOOKBACK_MIN</t>
        </is>
      </c>
      <c r="E7" s="275" t="n"/>
      <c r="G7" s="276" t="inlineStr">
        <is>
          <t>LOOKBACK_MIN</t>
        </is>
      </c>
      <c r="H7" s="275" t="n"/>
      <c r="J7" s="276" t="inlineStr">
        <is>
          <t>LOOKBACK_MIN</t>
        </is>
      </c>
      <c r="K7" s="275" t="n"/>
    </row>
    <row r="8" ht="15" customHeight="1" s="144">
      <c r="A8" s="276" t="inlineStr">
        <is>
          <t>Count / last flush</t>
        </is>
      </c>
      <c r="B8" s="275" t="n"/>
      <c r="D8" s="276" t="inlineStr">
        <is>
          <t>Count / last flush</t>
        </is>
      </c>
      <c r="E8" s="275" t="n"/>
      <c r="G8" s="276" t="inlineStr">
        <is>
          <t>Count / last flush</t>
        </is>
      </c>
      <c r="H8" s="275" t="n"/>
      <c r="J8" s="276" t="inlineStr">
        <is>
          <t>Count / last flush</t>
        </is>
      </c>
      <c r="K8" s="275" t="n"/>
    </row>
    <row r="9" ht="15" customHeight="1" s="144">
      <c r="A9" s="235" t="inlineStr">
        <is>
          <t>Time (serial)</t>
        </is>
      </c>
      <c r="B9" s="235" t="inlineStr">
        <is>
          <t>Spread value</t>
        </is>
      </c>
      <c r="D9" s="235" t="inlineStr">
        <is>
          <t>Time (serial)</t>
        </is>
      </c>
      <c r="E9" s="235" t="inlineStr">
        <is>
          <t>Spread value</t>
        </is>
      </c>
      <c r="G9" s="235" t="inlineStr">
        <is>
          <t>Time (serial)</t>
        </is>
      </c>
      <c r="H9" s="235" t="inlineStr">
        <is>
          <t>Spread value</t>
        </is>
      </c>
      <c r="J9" s="235" t="inlineStr">
        <is>
          <t>Time (serial)</t>
        </is>
      </c>
      <c r="K9" s="235" t="inlineStr">
        <is>
          <t>Spread value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L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0" customWidth="1" style="142" min="1" max="1"/>
    <col width="30" customWidth="1" style="142" min="2" max="2"/>
    <col width="20" customWidth="1" style="142" min="3" max="3"/>
    <col width="9" customWidth="1" style="142" min="4" max="4"/>
    <col width="12" customWidth="1" style="142" min="5" max="9"/>
    <col width="16" customWidth="1" style="142" min="10" max="10"/>
    <col width="10" customWidth="1" style="142" min="11" max="11"/>
    <col width="60" customWidth="1" style="142" min="12" max="12"/>
  </cols>
  <sheetData>
    <row r="1" ht="15" customHeight="1" s="144">
      <c r="A1" s="280" t="inlineStr">
        <is>
          <t>LOG  -  timestamped signal events</t>
        </is>
      </c>
    </row>
    <row r="2" ht="15" customHeight="1" s="144">
      <c r="A2" s="233" t="inlineStr">
        <is>
          <t>One line when a state STARTS and one when it CLEARS - never one per poll. Reviewable after the session.</t>
        </is>
      </c>
    </row>
    <row r="3" ht="15" customHeight="1" s="144">
      <c r="A3" s="235" t="inlineStr">
        <is>
          <t>Time</t>
        </is>
      </c>
      <c r="B3" s="235" t="inlineStr">
        <is>
          <t>Spread</t>
        </is>
      </c>
      <c r="C3" s="235" t="inlineStr">
        <is>
          <t>Event</t>
        </is>
      </c>
      <c r="D3" s="235" t="inlineStr">
        <is>
          <t>z</t>
        </is>
      </c>
      <c r="E3" s="235" t="inlineStr">
        <is>
          <t>Mean</t>
        </is>
      </c>
      <c r="F3" s="235" t="inlineStr">
        <is>
          <t>Sigma</t>
        </is>
      </c>
      <c r="G3" s="235" t="inlineStr">
        <is>
          <t>Spread</t>
        </is>
      </c>
      <c r="H3" s="235" t="inlineStr">
        <is>
          <t>Bid</t>
        </is>
      </c>
      <c r="I3" s="235" t="inlineStr">
        <is>
          <t>Ask</t>
        </is>
      </c>
      <c r="J3" s="235" t="inlineStr">
        <is>
          <t>Signal</t>
        </is>
      </c>
      <c r="K3" s="235" t="inlineStr">
        <is>
          <t>Edge</t>
        </is>
      </c>
      <c r="L3" s="235" t="inlineStr">
        <is>
          <t>Note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1:G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42" min="1" max="1"/>
    <col width="46" customWidth="1" style="142" min="2" max="2"/>
    <col width="16" customWidth="1" style="142" min="3" max="6"/>
    <col width="60" customWidth="1" style="142" min="7" max="7"/>
  </cols>
  <sheetData>
    <row r="1" ht="19.7" customHeight="1" s="144">
      <c r="B1" s="256" t="inlineStr">
        <is>
          <t>SETUP  -  turning this .xlsx into the working .xlsm</t>
        </is>
      </c>
    </row>
    <row r="3" ht="30" customHeight="1" s="144">
      <c r="B3" s="281" t="inlineStr">
        <is>
          <t>openpyxl cannot author VBA, so this file ships as an .xlsx carrying all structure and formatting, plus a .bas module to import. Six steps, once.</t>
        </is>
      </c>
    </row>
    <row r="4" ht="15" customHeight="1" s="144">
      <c r="B4" s="282" t="inlineStr">
        <is>
          <t>1.  Open TT_ZScore_Monitor.xlsx in Excel on the machine running TT and the TT RTD server.</t>
        </is>
      </c>
    </row>
    <row r="5" ht="15" customHeight="1" s="144">
      <c r="B5" s="282" t="inlineStr">
        <is>
          <t>2.  File &gt; Save As &gt; Excel Macro-Enabled Workbook (.xlsm). Keep the same folder.</t>
        </is>
      </c>
    </row>
    <row r="6" ht="15" customHeight="1" s="144">
      <c r="B6" s="282" t="inlineStr">
        <is>
          <t>3.  Alt+F11 to open the VBA editor.  File &gt; Import File...  and choose TTZMonitor.bas.</t>
        </is>
      </c>
    </row>
    <row r="7" ht="30" customHeight="1" s="144">
      <c r="B7" s="282" t="inlineStr">
        <is>
          <t>4.  In the editor, double-click ThisWorkbook and paste the two-line Workbook_Open / Workbook_BeforeClose stub printed at the bottom of TTZMonitor.bas.  REQUIRED - see the note below.</t>
        </is>
      </c>
    </row>
    <row r="8" ht="60" customHeight="1" s="144">
      <c r="B8" s="282" t="inlineStr">
        <is>
          <t>5.  Back on Dashboard, the control strip is ROW 23. Insert three shapes (Insert &gt; Shapes &gt; Rectangle) over the labelled cells N23 ("&gt; START"), P23 ("# STOP") and R23 ("TEST CHIME"), then right-click each &gt; Assign Macro &gt; StartMonitor, StopMonitor and TestChime. A shape is not bound to the cell it sits on - only the assigned macro matters - so the position is cosmetic. Until you draw them, run all three from Alt+F8.</t>
        </is>
      </c>
    </row>
    <row r="9" ht="15" customHeight="1" s="144">
      <c r="B9" s="282" t="inlineStr">
        <is>
          <t>6.  Save. Click START. The Feed sheet stays hidden; you never need to look at it.</t>
        </is>
      </c>
    </row>
    <row r="10" ht="90" customHeight="1" s="144">
      <c r="B10" s="281" t="inlineStr">
        <is>
          <t>Step 4 is NOT optional. The capture timer is a Windows user32 timer, and one that outlives the workbook keeps firing into a module that no longer has its sheets - which crashes Excel. Workbook_BeforeClose calls StopMonitor and kills it.     F23 and H23 ARE hard-coded in the module - F23 holds RUNNING / STOPPED, H23 the rate strip, both rewritten on every paint - so do not move them. N23, P23 and R23 are only labelled backing cells for the shapes; the engine never touches them.     Run TestChime before going live: it plays the entry tone then the ceiling tone, so the sound path is verified without waiting for warm-up and a real crossing. On a headless or remote-desktop machine with no audio device PlaySound fails silently, so TestChime can report success having played nothing.</t>
        </is>
      </c>
    </row>
    <row r="12" ht="15" customHeight="1" s="144">
      <c r="B12" s="234" t="inlineStr">
        <is>
          <t>WHAT TO CHECK ON THE FIRST RUN</t>
        </is>
      </c>
    </row>
    <row r="13" ht="25.5" customHeight="1" s="144">
      <c r="B13" s="283" t="inlineStr">
        <is>
          <t>-  Feed sheet column B (instrument ids) fills in. If it stays blank, the TT short name in Feed column A does not match TT, or the market in Dashboard!C4 is wrong.</t>
        </is>
      </c>
    </row>
    <row r="14" ht="25.5" customHeight="1" s="144">
      <c r="B14" s="283" t="inlineStr">
        <is>
          <t>-  Dashboard prices move, but the sheet does NOT flash. If it flashes, something volatile has been reintroduced - search the workbook for NOW, TODAY, OFFSET, INDIRECT, RAND.</t>
        </is>
      </c>
    </row>
    <row r="15" ht="25.5" customHeight="1" s="144">
      <c r="B15" s="283" t="inlineStr">
        <is>
          <t>-  The samples counter climbs at roughly the quotes/min rate, not at the timer rate. If it climbs at the timer rate, dedupe is not working and every z you see will be fiction.</t>
        </is>
      </c>
    </row>
    <row r="16" ht="25.5" customHeight="1" s="144">
      <c r="B16" s="283" t="inlineStr">
        <is>
          <t>-  Warm-up takes MIN_HISTORY_MIN (default 120) minutes on a cold start. That is deliberate.</t>
        </is>
      </c>
    </row>
    <row r="17" ht="25.5" customHeight="1" s="144">
      <c r="B17" s="283" t="inlineStr">
        <is>
          <t>-  A 'ticks' folder appears beside the workbook, one CSV per spread per day, holding every changed quote. That is the raw record - keep it for the first week or two.</t>
        </is>
      </c>
    </row>
    <row r="18" ht="25.5" customHeight="1" s="144">
      <c r="B18" s="283" t="inlineStr">
        <is>
          <t>-  After a week, run Alt+F8 &gt; CheckSubsamplingLoss. It compares mean and sigma over the live window at full fidelity against 250 / 500 / 1000 / 2000 / 5000 ms subsampling and writes the comparison to the Log. If sigma is materially unchanged, set STORE_MIN_INTERVAL_MS and reclaim the memory.</t>
        </is>
      </c>
    </row>
    <row r="20" ht="15" customHeight="1" s="144">
      <c r="B20" s="234" t="inlineStr">
        <is>
          <t>WHAT SIGMA THIS SPREAD MUST HAVE TO BE WORTH TRADING</t>
        </is>
      </c>
    </row>
    <row r="21" ht="15" customHeight="1" s="144">
      <c r="B21" s="233" t="inlineStr">
        <is>
          <t>Live off Config. Edit the two assumed market widths below; everything else follows.</t>
        </is>
      </c>
    </row>
    <row r="22" ht="15" customHeight="1" s="144">
      <c r="B22" s="266" t="inlineStr">
        <is>
          <t>Assumed width, each outright leg (spread units)</t>
        </is>
      </c>
      <c r="C22" s="267" t="n">
        <v>0.02</v>
      </c>
      <c r="E22" s="266" t="inlineStr">
        <is>
          <t>Assumed width, listed spread (spread units)</t>
        </is>
      </c>
      <c r="F22" s="267" t="n">
        <v>0.02</v>
      </c>
    </row>
    <row r="24" ht="22.35" customHeight="1" s="144">
      <c r="B24" s="235" t="inlineStr">
        <is>
          <t>At LOTS from Config, per leg</t>
        </is>
      </c>
      <c r="C24" s="235" t="inlineStr">
        <is>
          <t>Total cost</t>
        </is>
      </c>
      <c r="D24" s="235" t="inlineStr">
        <is>
          <t>min sigma @ z = 3.0</t>
        </is>
      </c>
      <c r="E24" s="235" t="inlineStr">
        <is>
          <t>min sigma @ z = 2.5</t>
        </is>
      </c>
      <c r="F24" s="235" t="inlineStr">
        <is>
          <t>min sigma @ live ENTRY_Z</t>
        </is>
      </c>
    </row>
    <row r="25" ht="15" customHeight="1" s="144">
      <c r="B25" s="272" t="inlineStr">
        <is>
          <t>Legging the outrights</t>
        </is>
      </c>
      <c r="C25" s="284">
        <f>2*Config!$B$73*Config!$B$41+(2*$C$22)*1000*Config!$B$41</f>
        <v/>
      </c>
      <c r="D25" s="285">
        <f>Config!$B$46*$C$25/(0.5*3*1000*Config!$B$41)</f>
        <v/>
      </c>
      <c r="E25" s="285">
        <f>Config!$B$46*$C$25/(0.5*2.5*1000*Config!$B$41)</f>
        <v/>
      </c>
      <c r="F25" s="285">
        <f>Config!$B$46*$C$25/(0.5*Config!$B$34*1000*Config!$B$41)</f>
        <v/>
      </c>
    </row>
    <row r="26" ht="15" customHeight="1" s="144">
      <c r="B26" s="272" t="inlineStr">
        <is>
          <t>Listed inter-product spread</t>
        </is>
      </c>
      <c r="C26" s="284">
        <f>2*Config!$B$73*Config!$B$41+$F$22*1000*Config!$B$41</f>
        <v/>
      </c>
      <c r="D26" s="285">
        <f>Config!$B$46*$C$26/(0.5*3*1000*Config!$B$41)</f>
        <v/>
      </c>
      <c r="E26" s="285">
        <f>Config!$B$46*$C$26/(0.5*2.5*1000*Config!$B$41)</f>
        <v/>
      </c>
      <c r="F26" s="285">
        <f>Config!$B$46*$C$26/(0.5*Config!$B$34*1000*Config!$B$41)</f>
        <v/>
      </c>
    </row>
    <row r="28" ht="15" customHeight="1" s="144">
      <c r="B28" s="233" t="inlineStr">
        <is>
          <t>capture = 0.5 x |z| x sigma x USD-per-point x LOTS.  An entry passes when capture &gt;= EDGE_MULTIPLE x total cost.</t>
        </is>
      </c>
    </row>
    <row r="29" ht="15" customHeight="1" s="144">
      <c r="B29" s="255" t="inlineStr">
        <is>
          <t>A lower ENTRY_Z means less expected capture per entry, so it RAISES the sigma the spread must have. 2.5 instead of 3.0 raises it by about 20%.</t>
        </is>
      </c>
    </row>
    <row r="31" ht="15" customHeight="1" s="144">
      <c r="B31" s="234" t="inlineStr">
        <is>
          <t>ASSUMPTIONS MADE WHILE BUILDING THIS - CHECK THEM</t>
        </is>
      </c>
    </row>
    <row r="32" ht="39.75" customHeight="1" s="144">
      <c r="B32" s="283" t="inlineStr">
        <is>
          <t>-  The repository was empty, so the existing Dashboard layout was reconstructed from the cell references given in the spec (C4, B6, C7, H7/H8, P7/P8, H12/H13/H14/I14, L3). Those coordinates are honoured exactly; the surrounding rows are a best reconstruction. Compare against your live sheet before relying on it.</t>
        </is>
      </c>
    </row>
    <row r="33" ht="39.75" customHeight="1" s="144">
      <c r="B33" s="283" t="inlineStr">
        <is>
          <t>-  The 3:2:1 ask row now mirrors the bid row: I15 uses H14 (CL BID), not I14. The bid row is unchanged. This is the convention the spec described; confirm it is the one you want.</t>
        </is>
      </c>
    </row>
    <row r="34" ht="39.75" customHeight="1" s="144">
      <c r="B34" s="283" t="inlineStr">
        <is>
          <t>-  COMMISSION_BASIS defaults to CONSERVATIVE ($3.82 per lot per leg round turn, reading CME's $1.50 as per side). Switch it to CME_PER_RT on Config if the rate card proves otherwise.</t>
        </is>
      </c>
    </row>
    <row r="35" ht="39.75" customHeight="1" s="144">
      <c r="B35" s="283" t="inlineStr">
        <is>
          <t>-  Contracts charged commission: 2 for BZ-CL and the listed spread, 6 for the 3:2:1 crack (2 RB + 1 HO + 3 CL). Change it in the Config spread table if your clearing differs.</t>
        </is>
      </c>
    </row>
    <row r="36" ht="39.75" customHeight="1" s="144">
      <c r="B36" s="283" t="inlineStr">
        <is>
          <t>-  Slot 3 (3:2:1) has no exchange-listed equivalent, so its LISTED crossing-cost column reads n/a.</t>
        </is>
      </c>
    </row>
    <row r="37" ht="39.75" customHeight="1" s="144">
      <c r="B37" s="283" t="inlineStr">
        <is>
          <t>-  MIN_SIGMA ships at 0 because sigma on these spreads has never been measured. Set it once you have a session of data - until then the degenerate-window guard rests on MAX_ABS_Z alone.</t>
        </is>
      </c>
    </row>
    <row r="38" ht="39.75" customHeight="1" s="144">
      <c r="B38" s="283" t="inlineStr">
        <is>
          <t>-  Application.OnTime cannot go below about one second, so capture at 100 ms runs on a user32 SetTimer with an OnTime watchdog that re-arms it (Excel silently kills API timers when a modal dialog opens). If SetTimer is unavailable, CAPTURE_MS is clamped to 1000 and everything still works - only alert latency changes, not the statistics.</t>
        </is>
      </c>
    </row>
    <row r="39" ht="39.75" customHeight="1" s="144">
      <c r="B39" s="283" t="inlineStr">
        <is>
          <t>-  Capturing at 100 ms does not mean storing at 100 ms, and after dedupe it does not change sigma either. The window holds quote CHANGES, not poll ticks; subsampling a mean-reverting level series is unbiased. 100 ms buys latency to the chime, which for manual execution is not measurable in human terms - so the real reason to capture fast is simply that no genuine quote change is missed.</t>
        </is>
      </c>
    </row>
  </sheetData>
  <mergeCells count="22">
    <mergeCell ref="B14:G14"/>
    <mergeCell ref="B17:G17"/>
    <mergeCell ref="B8:G8"/>
    <mergeCell ref="B13:G13"/>
    <mergeCell ref="B38:G38"/>
    <mergeCell ref="B34:G34"/>
    <mergeCell ref="B10:G10"/>
    <mergeCell ref="B37:G37"/>
    <mergeCell ref="B9:G9"/>
    <mergeCell ref="B15:G15"/>
    <mergeCell ref="B33:G33"/>
    <mergeCell ref="B6:G6"/>
    <mergeCell ref="B5:G5"/>
    <mergeCell ref="B36:G36"/>
    <mergeCell ref="B32:G32"/>
    <mergeCell ref="B4:G4"/>
    <mergeCell ref="B35:G35"/>
    <mergeCell ref="B7:G7"/>
    <mergeCell ref="B3:G3"/>
    <mergeCell ref="B16:G16"/>
    <mergeCell ref="B18:G18"/>
    <mergeCell ref="B39:G3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2026-08-21T11:03:17Z</dcterms:created>
  <dcterms:modified xsi:type="dcterms:W3CDTF">2026-08-25T13:32:41Z</dcterms:modified>
  <cp:lastModifiedBy>USER</cp:lastModifiedBy>
  <cp:revision>0</cp:revision>
</cp:coreProperties>
</file>