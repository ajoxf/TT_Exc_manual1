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Detail" sheetId="2" state="visible" r:id="rId2"/>
    <sheet name="Config" sheetId="3" state="visible" r:id="rId3"/>
    <sheet name="Feed" sheetId="4" state="hidden" r:id="rId4"/>
    <sheet name="Buffer" sheetId="5" state="hidden" r:id="rId5"/>
    <sheet name="Log" sheetId="6" state="visible" r:id="rId6"/>
    <sheet name="Setup" sheetId="7" state="visible" r:id="rId7"/>
  </sheets>
  <definedNames>
    <definedName name="_xlnm.Print_Area" localSheetId="0">'Dashboard'!$A$2:$A$18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000"/>
    <numFmt numFmtId="165" formatCode="\$#,##0.00"/>
    <numFmt numFmtId="166" formatCode="#,##0.0000"/>
    <numFmt numFmtId="167" formatCode="0.0"/>
    <numFmt numFmtId="168" formatCode="\$#,##0.00;&quot;($&quot;#,##0.00\);\-"/>
  </numFmts>
  <fonts count="5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11318"/>
      <sz val="20"/>
    </font>
    <font>
      <name val="Arial"/>
      <charset val="1"/>
      <family val="2"/>
      <b val="1"/>
      <color rgb="FF6B7280"/>
      <sz val="10"/>
    </font>
    <font>
      <name val="Arial"/>
      <charset val="1"/>
      <family val="2"/>
      <b val="1"/>
      <color rgb="FFB8860B"/>
      <sz val="14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E7C7B"/>
      <sz val="9"/>
    </font>
    <font>
      <name val="Arial"/>
      <charset val="1"/>
      <family val="2"/>
      <b val="1"/>
      <color rgb="FFFFFFFF"/>
      <sz val="18"/>
    </font>
    <font>
      <name val="Calibri"/>
      <charset val="1"/>
      <family val="2"/>
      <color theme="1"/>
      <sz val="18"/>
    </font>
    <font>
      <name val="Calibri"/>
      <charset val="1"/>
      <family val="2"/>
      <color theme="1"/>
      <sz val="32"/>
    </font>
    <font>
      <name val="Arial"/>
      <charset val="1"/>
      <family val="2"/>
      <b val="1"/>
      <color rgb="FF111318"/>
      <sz val="18"/>
    </font>
    <font>
      <name val="Arial"/>
      <charset val="1"/>
      <family val="2"/>
      <color rgb="FF6B7280"/>
      <sz val="18"/>
    </font>
    <font>
      <name val="Arial"/>
      <charset val="1"/>
      <family val="2"/>
      <b val="1"/>
      <color rgb="FF111318"/>
      <sz val="26"/>
    </font>
    <font>
      <name val="Arial"/>
      <charset val="1"/>
      <family val="2"/>
      <b val="1"/>
      <color rgb="FF127A34"/>
      <sz val="26"/>
    </font>
    <font>
      <name val="Calibri"/>
      <charset val="1"/>
      <family val="2"/>
      <b val="1"/>
      <color theme="1"/>
      <sz val="26"/>
    </font>
    <font>
      <name val="Calibri"/>
      <charset val="1"/>
      <family val="2"/>
      <color theme="1"/>
      <sz val="20"/>
    </font>
    <font>
      <name val="Arial"/>
      <charset val="1"/>
      <family val="2"/>
      <b val="1"/>
      <color rgb="FF1257A6"/>
      <sz val="26"/>
    </font>
    <font>
      <name val="Arial"/>
      <charset val="1"/>
      <family val="2"/>
      <b val="1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11318"/>
      <sz val="14"/>
    </font>
    <font>
      <name val="Arial"/>
      <charset val="1"/>
      <family val="0"/>
      <b val="1"/>
      <color rgb="FF111318"/>
      <sz val="22"/>
    </font>
    <font>
      <name val="Arial"/>
      <charset val="1"/>
      <family val="2"/>
      <b val="1"/>
      <color rgb="FF127A34"/>
      <sz val="20"/>
    </font>
    <font>
      <name val="Calibri"/>
      <charset val="1"/>
      <family val="2"/>
      <b val="1"/>
      <color theme="1"/>
      <sz val="22"/>
    </font>
    <font>
      <name val="Arial"/>
      <charset val="1"/>
      <family val="0"/>
      <b val="1"/>
      <color rgb="FF127A34"/>
      <sz val="26"/>
    </font>
    <font>
      <name val="Calibri"/>
      <charset val="1"/>
      <family val="2"/>
      <color theme="1"/>
      <sz val="22"/>
    </font>
    <font>
      <name val="Arial"/>
      <charset val="1"/>
      <family val="0"/>
      <b val="1"/>
      <color rgb="FF111318"/>
      <sz val="13"/>
    </font>
    <font>
      <name val="Arial"/>
      <charset val="1"/>
      <family val="0"/>
      <b val="1"/>
      <color rgb="FF111318"/>
      <sz val="16"/>
    </font>
    <font>
      <name val="Arial"/>
      <charset val="1"/>
      <family val="0"/>
      <b val="1"/>
      <color rgb="FF111318"/>
      <sz val="11"/>
    </font>
    <font>
      <name val="Calibri"/>
      <charset val="1"/>
      <family val="2"/>
      <color theme="1"/>
      <sz val="28"/>
    </font>
    <font>
      <name val="Arial"/>
      <charset val="1"/>
      <family val="0"/>
      <b val="1"/>
      <color rgb="FF111318"/>
      <sz val="12"/>
    </font>
    <font>
      <name val="Arial"/>
      <charset val="1"/>
      <family val="0"/>
      <color rgb="FF6B728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7F7F7F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9"/>
    </font>
    <font>
      <name val="Arial"/>
      <charset val="1"/>
      <family val="0"/>
      <b val="1"/>
      <i val="1"/>
      <color rgb="FFC00000"/>
      <sz val="9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i val="1"/>
      <color rgb="FF000000"/>
      <sz val="9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1F3864"/>
      <sz val="12"/>
    </font>
    <font>
      <name val="Arial"/>
      <b val="1"/>
      <color rgb="00008000"/>
      <sz val="10"/>
    </font>
  </fonts>
  <fills count="12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E7E6E6"/>
      </patternFill>
    </fill>
    <fill>
      <patternFill patternType="solid">
        <fgColor rgb="FFFFE699"/>
        <bgColor rgb="FFFFEB9C"/>
      </patternFill>
    </fill>
    <fill>
      <patternFill patternType="solid">
        <fgColor rgb="FF1F3864"/>
        <bgColor rgb="FF17375E"/>
      </patternFill>
    </fill>
    <fill>
      <patternFill patternType="solid">
        <fgColor theme="3" tint="-0.25"/>
        <bgColor rgb="FF1F3864"/>
      </patternFill>
    </fill>
    <fill>
      <patternFill patternType="solid">
        <fgColor rgb="FFE7E6E6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F1E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general" vertical="top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49" fontId="7" fillId="4" borderId="2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3" borderId="6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/>
    </xf>
    <xf numFmtId="2" fontId="15" fillId="3" borderId="0" applyAlignment="1" pivotButton="0" quotePrefix="0" xfId="0">
      <alignment horizontal="center" vertical="center"/>
    </xf>
    <xf numFmtId="164" fontId="15" fillId="3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7" fillId="3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2" fontId="16" fillId="3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2" fontId="15" fillId="0" borderId="0" applyAlignment="1" pivotButton="0" quotePrefix="0" xfId="0">
      <alignment horizontal="center" vertical="center"/>
    </xf>
    <xf numFmtId="2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2" fontId="19" fillId="3" borderId="9" applyAlignment="1" pivotButton="0" quotePrefix="0" xfId="0">
      <alignment horizontal="center" vertical="center"/>
    </xf>
    <xf numFmtId="2" fontId="16" fillId="3" borderId="9" applyAlignment="1" pivotButton="0" quotePrefix="0" xfId="0">
      <alignment horizontal="center" vertical="center"/>
    </xf>
    <xf numFmtId="2" fontId="19" fillId="3" borderId="10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1" fillId="3" borderId="9" applyAlignment="1" pivotButton="0" quotePrefix="0" xfId="0">
      <alignment horizontal="center" vertical="center"/>
    </xf>
    <xf numFmtId="49" fontId="20" fillId="4" borderId="2" applyAlignment="1" pivotButton="0" quotePrefix="0" xfId="0">
      <alignment horizontal="center" vertical="center" wrapText="1"/>
    </xf>
    <xf numFmtId="0" fontId="21" fillId="6" borderId="3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22" fillId="3" borderId="6" applyAlignment="1" pivotButton="0" quotePrefix="0" xfId="0">
      <alignment horizontal="center" vertical="center" wrapText="1"/>
    </xf>
    <xf numFmtId="2" fontId="23" fillId="3" borderId="0" applyAlignment="1" pivotButton="0" quotePrefix="0" xfId="0">
      <alignment horizontal="center" vertical="center"/>
    </xf>
    <xf numFmtId="164" fontId="23" fillId="3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/>
    </xf>
    <xf numFmtId="164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2" fontId="19" fillId="0" borderId="9" applyAlignment="1" pivotButton="0" quotePrefix="0" xfId="0">
      <alignment horizontal="center" vertical="center"/>
    </xf>
    <xf numFmtId="2" fontId="26" fillId="3" borderId="0" applyAlignment="1" pivotButton="0" quotePrefix="0" xfId="0">
      <alignment horizontal="center" vertical="center"/>
    </xf>
    <xf numFmtId="2" fontId="19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center" vertical="center"/>
    </xf>
    <xf numFmtId="0" fontId="21" fillId="6" borderId="4" applyAlignment="1" pivotButton="0" quotePrefix="0" xfId="0">
      <alignment horizontal="center" vertical="center"/>
    </xf>
    <xf numFmtId="0" fontId="29" fillId="3" borderId="6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 vertical="center"/>
    </xf>
    <xf numFmtId="164" fontId="29" fillId="3" borderId="0" applyAlignment="1" pivotButton="0" quotePrefix="0" xfId="0">
      <alignment horizontal="center" vertical="center"/>
    </xf>
    <xf numFmtId="165" fontId="22" fillId="3" borderId="0" applyAlignment="1" pivotButton="0" quotePrefix="0" xfId="0">
      <alignment horizontal="center" vertical="center"/>
    </xf>
    <xf numFmtId="2" fontId="22" fillId="3" borderId="0" applyAlignment="1" pivotButton="0" quotePrefix="0" xfId="0">
      <alignment horizontal="center" vertical="center"/>
    </xf>
    <xf numFmtId="0" fontId="29" fillId="3" borderId="9" applyAlignment="1" pivotButton="0" quotePrefix="0" xfId="0">
      <alignment horizontal="center" vertical="center"/>
    </xf>
    <xf numFmtId="0" fontId="31" fillId="0" borderId="0" applyAlignment="1" pivotButton="0" quotePrefix="0" xfId="0">
      <alignment horizontal="general" vertical="bottom"/>
    </xf>
    <xf numFmtId="164" fontId="23" fillId="3" borderId="9" applyAlignment="1" pivotButton="0" quotePrefix="0" xfId="0">
      <alignment horizontal="center" vertical="center"/>
    </xf>
    <xf numFmtId="0" fontId="30" fillId="3" borderId="9" applyAlignment="1" pivotButton="0" quotePrefix="0" xfId="0">
      <alignment horizontal="center" vertical="center"/>
    </xf>
    <xf numFmtId="2" fontId="23" fillId="3" borderId="9" applyAlignment="1" pivotButton="0" quotePrefix="0" xfId="0">
      <alignment horizontal="center" vertical="center"/>
    </xf>
    <xf numFmtId="164" fontId="29" fillId="3" borderId="9" applyAlignment="1" pivotButton="0" quotePrefix="0" xfId="0">
      <alignment horizontal="center" vertical="center"/>
    </xf>
    <xf numFmtId="165" fontId="22" fillId="3" borderId="9" applyAlignment="1" pivotButton="0" quotePrefix="0" xfId="0">
      <alignment horizontal="center" vertical="center"/>
    </xf>
    <xf numFmtId="2" fontId="22" fillId="3" borderId="9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bottom"/>
    </xf>
    <xf numFmtId="49" fontId="32" fillId="7" borderId="2" applyAlignment="1" pivotButton="0" quotePrefix="0" xfId="0">
      <alignment horizontal="center" vertical="center"/>
    </xf>
    <xf numFmtId="0" fontId="33" fillId="3" borderId="0" applyAlignment="1" pivotButton="0" quotePrefix="0" xfId="0">
      <alignment horizontal="left" vertical="center"/>
    </xf>
    <xf numFmtId="49" fontId="32" fillId="8" borderId="2" applyAlignment="1" pivotButton="0" quotePrefix="0" xfId="0">
      <alignment horizontal="center" vertical="center"/>
    </xf>
    <xf numFmtId="49" fontId="32" fillId="9" borderId="2" applyAlignment="1" pivotButton="0" quotePrefix="0" xfId="0">
      <alignment horizontal="center" vertical="center"/>
    </xf>
    <xf numFmtId="49" fontId="32" fillId="10" borderId="2" applyAlignment="1" pivotButton="0" quotePrefix="0" xfId="0">
      <alignment horizontal="center" vertical="center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8" fillId="5" borderId="2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left" vertical="bottom"/>
    </xf>
    <xf numFmtId="0" fontId="38" fillId="0" borderId="2" applyAlignment="1" pivotButton="0" quotePrefix="0" xfId="0">
      <alignment horizontal="left" vertical="bottom"/>
    </xf>
    <xf numFmtId="0" fontId="39" fillId="0" borderId="2" applyAlignment="1" pivotButton="0" quotePrefix="0" xfId="0">
      <alignment horizontal="left" vertical="bottom"/>
    </xf>
    <xf numFmtId="0" fontId="40" fillId="0" borderId="2" applyAlignment="1" pivotButton="0" quotePrefix="0" xfId="0">
      <alignment horizontal="center" vertical="bottom"/>
    </xf>
    <xf numFmtId="166" fontId="41" fillId="0" borderId="2" applyAlignment="1" pivotButton="0" quotePrefix="0" xfId="0">
      <alignment horizontal="center" vertical="bottom"/>
    </xf>
    <xf numFmtId="0" fontId="40" fillId="0" borderId="2" applyAlignment="1" pivotButton="0" quotePrefix="0" xfId="0">
      <alignment horizontal="left" vertical="bottom"/>
    </xf>
    <xf numFmtId="0" fontId="41" fillId="0" borderId="2" applyAlignment="1" pivotButton="0" quotePrefix="0" xfId="0">
      <alignment horizontal="general" vertical="bottom"/>
    </xf>
    <xf numFmtId="0" fontId="41" fillId="0" borderId="2" applyAlignment="1" pivotButton="0" quotePrefix="0" xfId="0">
      <alignment horizontal="center" vertical="bottom"/>
    </xf>
    <xf numFmtId="3" fontId="41" fillId="0" borderId="2" applyAlignment="1" pivotButton="0" quotePrefix="0" xfId="0">
      <alignment horizontal="center" vertical="bottom"/>
    </xf>
    <xf numFmtId="0" fontId="42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2" fontId="41" fillId="0" borderId="2" applyAlignment="1" pivotButton="0" quotePrefix="0" xfId="0">
      <alignment horizontal="center" vertical="bottom"/>
    </xf>
    <xf numFmtId="167" fontId="41" fillId="0" borderId="2" applyAlignment="1" pivotButton="0" quotePrefix="0" xfId="0">
      <alignment horizontal="center" vertical="bottom"/>
    </xf>
    <xf numFmtId="168" fontId="41" fillId="0" borderId="2" applyAlignment="1" pivotButton="0" quotePrefix="0" xfId="0">
      <alignment horizontal="center" vertical="bottom"/>
    </xf>
    <xf numFmtId="0" fontId="37" fillId="0" borderId="2" applyAlignment="1" pivotButton="0" quotePrefix="0" xfId="0">
      <alignment horizontal="general" vertical="bottom"/>
    </xf>
    <xf numFmtId="2" fontId="37" fillId="0" borderId="2" applyAlignment="1" pivotButton="0" quotePrefix="0" xfId="0">
      <alignment horizontal="center" vertical="bottom"/>
    </xf>
    <xf numFmtId="0" fontId="37" fillId="0" borderId="2" applyAlignment="1" pivotButton="0" quotePrefix="0" xfId="0">
      <alignment horizontal="center" vertical="bottom"/>
    </xf>
    <xf numFmtId="168" fontId="37" fillId="0" borderId="2" applyAlignment="1" pivotButton="0" quotePrefix="0" xfId="0">
      <alignment horizontal="center" vertical="bottom"/>
    </xf>
    <xf numFmtId="166" fontId="37" fillId="0" borderId="2" applyAlignment="1" pivotButton="0" quotePrefix="0" xfId="0">
      <alignment horizontal="center" vertical="bottom"/>
    </xf>
    <xf numFmtId="0" fontId="43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general" vertical="bottom"/>
    </xf>
    <xf numFmtId="0" fontId="42" fillId="10" borderId="2" applyAlignment="1" pivotButton="0" quotePrefix="0" xfId="0">
      <alignment horizontal="center" vertical="center" wrapText="1"/>
    </xf>
    <xf numFmtId="0" fontId="46" fillId="11" borderId="2" applyAlignment="1" pivotButton="0" quotePrefix="0" xfId="0">
      <alignment horizontal="center" vertical="bottom"/>
    </xf>
    <xf numFmtId="0" fontId="39" fillId="0" borderId="2" applyAlignment="1" pivotButton="0" quotePrefix="0" xfId="0">
      <alignment horizontal="general" vertical="bottom"/>
    </xf>
    <xf numFmtId="0" fontId="46" fillId="11" borderId="2" applyAlignment="1" pivotButton="0" quotePrefix="0" xfId="0">
      <alignment horizontal="center" vertical="bottom"/>
    </xf>
    <xf numFmtId="0" fontId="40" fillId="0" borderId="2" applyAlignment="1" pivotButton="0" quotePrefix="0" xfId="0">
      <alignment horizontal="center" vertical="bottom"/>
    </xf>
    <xf numFmtId="0" fontId="46" fillId="11" borderId="2" applyAlignment="1" pivotButton="0" quotePrefix="0" xfId="0">
      <alignment horizontal="left" vertical="bottom"/>
    </xf>
    <xf numFmtId="2" fontId="46" fillId="11" borderId="2" applyAlignment="1" pivotButton="0" quotePrefix="0" xfId="0">
      <alignment horizontal="center" vertical="bottom"/>
    </xf>
    <xf numFmtId="2" fontId="40" fillId="0" borderId="2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4" fontId="46" fillId="11" borderId="2" applyAlignment="1" pivotButton="0" quotePrefix="0" xfId="0">
      <alignment horizontal="center" vertical="bottom"/>
    </xf>
    <xf numFmtId="3" fontId="46" fillId="11" borderId="2" applyAlignment="1" pivotButton="0" quotePrefix="0" xfId="0">
      <alignment horizontal="center" vertical="bottom"/>
    </xf>
    <xf numFmtId="1" fontId="46" fillId="11" borderId="2" applyAlignment="1" pivotButton="0" quotePrefix="0" xfId="0">
      <alignment horizontal="center" vertical="bottom"/>
    </xf>
    <xf numFmtId="0" fontId="47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49" fillId="0" borderId="2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1" fontId="41" fillId="0" borderId="2" applyAlignment="1" pivotButton="0" quotePrefix="0" xfId="0">
      <alignment horizontal="center" vertical="bottom"/>
    </xf>
    <xf numFmtId="0" fontId="41" fillId="0" borderId="2" applyAlignment="1" pivotButton="0" quotePrefix="0" xfId="0">
      <alignment horizontal="left" vertical="bottom"/>
    </xf>
    <xf numFmtId="0" fontId="51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top" wrapText="1"/>
    </xf>
    <xf numFmtId="0" fontId="37" fillId="0" borderId="0" applyAlignment="1" pivotButton="0" quotePrefix="0" xfId="0">
      <alignment horizontal="general" vertical="top" wrapText="1"/>
    </xf>
    <xf numFmtId="0" fontId="39" fillId="0" borderId="0" applyAlignment="1" pivotButton="0" quotePrefix="0" xfId="0">
      <alignment horizontal="general" vertical="top" wrapText="1"/>
    </xf>
    <xf numFmtId="165" fontId="41" fillId="0" borderId="2" applyAlignment="1" pivotButton="0" quotePrefix="0" xfId="0">
      <alignment horizontal="center" vertical="bottom"/>
    </xf>
    <xf numFmtId="164" fontId="41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general" vertical="top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49" fontId="7" fillId="4" borderId="2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3" fillId="3" borderId="6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/>
    </xf>
    <xf numFmtId="2" fontId="15" fillId="3" borderId="0" applyAlignment="1" pivotButton="0" quotePrefix="0" xfId="0">
      <alignment horizontal="center" vertical="center"/>
    </xf>
    <xf numFmtId="164" fontId="15" fillId="3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7" fillId="3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2" fontId="16" fillId="3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2" fontId="15" fillId="0" borderId="0" applyAlignment="1" pivotButton="0" quotePrefix="0" xfId="0">
      <alignment horizontal="center" vertical="center"/>
    </xf>
    <xf numFmtId="2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 wrapText="1"/>
    </xf>
    <xf numFmtId="0" fontId="11" fillId="3" borderId="9" applyAlignment="1" pivotButton="0" quotePrefix="0" xfId="0">
      <alignment horizontal="center" vertical="center" wrapText="1"/>
    </xf>
    <xf numFmtId="2" fontId="19" fillId="3" borderId="9" applyAlignment="1" pivotButton="0" quotePrefix="0" xfId="0">
      <alignment horizontal="center" vertical="center"/>
    </xf>
    <xf numFmtId="2" fontId="16" fillId="3" borderId="9" applyAlignment="1" pivotButton="0" quotePrefix="0" xfId="0">
      <alignment horizontal="center" vertical="center"/>
    </xf>
    <xf numFmtId="2" fontId="19" fillId="3" borderId="10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1" fillId="3" borderId="9" applyAlignment="1" pivotButton="0" quotePrefix="0" xfId="0">
      <alignment horizontal="center" vertical="center"/>
    </xf>
    <xf numFmtId="49" fontId="20" fillId="4" borderId="2" applyAlignment="1" pivotButton="0" quotePrefix="0" xfId="0">
      <alignment horizontal="center" vertical="center" wrapText="1"/>
    </xf>
    <xf numFmtId="0" fontId="21" fillId="6" borderId="3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22" fillId="3" borderId="6" applyAlignment="1" pivotButton="0" quotePrefix="0" xfId="0">
      <alignment horizontal="center" vertical="center" wrapText="1"/>
    </xf>
    <xf numFmtId="2" fontId="23" fillId="3" borderId="0" applyAlignment="1" pivotButton="0" quotePrefix="0" xfId="0">
      <alignment horizontal="center" vertical="center"/>
    </xf>
    <xf numFmtId="164" fontId="23" fillId="3" borderId="0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164" fontId="1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/>
    </xf>
    <xf numFmtId="164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2" fontId="19" fillId="0" borderId="9" applyAlignment="1" pivotButton="0" quotePrefix="0" xfId="0">
      <alignment horizontal="center" vertical="center"/>
    </xf>
    <xf numFmtId="2" fontId="26" fillId="3" borderId="0" applyAlignment="1" pivotButton="0" quotePrefix="0" xfId="0">
      <alignment horizontal="center" vertical="center"/>
    </xf>
    <xf numFmtId="2" fontId="19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center" vertical="center"/>
    </xf>
    <xf numFmtId="0" fontId="21" fillId="6" borderId="4" applyAlignment="1" pivotButton="0" quotePrefix="0" xfId="0">
      <alignment horizontal="center" vertical="center"/>
    </xf>
    <xf numFmtId="0" fontId="29" fillId="3" borderId="6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 vertical="center"/>
    </xf>
    <xf numFmtId="164" fontId="29" fillId="3" borderId="0" applyAlignment="1" pivotButton="0" quotePrefix="0" xfId="0">
      <alignment horizontal="center" vertical="center"/>
    </xf>
    <xf numFmtId="165" fontId="22" fillId="3" borderId="0" applyAlignment="1" pivotButton="0" quotePrefix="0" xfId="0">
      <alignment horizontal="center" vertical="center"/>
    </xf>
    <xf numFmtId="2" fontId="22" fillId="3" borderId="0" applyAlignment="1" pivotButton="0" quotePrefix="0" xfId="0">
      <alignment horizontal="center" vertical="center"/>
    </xf>
    <xf numFmtId="0" fontId="29" fillId="3" borderId="9" applyAlignment="1" pivotButton="0" quotePrefix="0" xfId="0">
      <alignment horizontal="center" vertical="center"/>
    </xf>
    <xf numFmtId="0" fontId="31" fillId="0" borderId="0" applyAlignment="1" pivotButton="0" quotePrefix="0" xfId="0">
      <alignment horizontal="general" vertical="bottom"/>
    </xf>
    <xf numFmtId="164" fontId="23" fillId="3" borderId="9" applyAlignment="1" pivotButton="0" quotePrefix="0" xfId="0">
      <alignment horizontal="center" vertical="center"/>
    </xf>
    <xf numFmtId="0" fontId="30" fillId="3" borderId="9" applyAlignment="1" pivotButton="0" quotePrefix="0" xfId="0">
      <alignment horizontal="center" vertical="center"/>
    </xf>
    <xf numFmtId="2" fontId="23" fillId="3" borderId="9" applyAlignment="1" pivotButton="0" quotePrefix="0" xfId="0">
      <alignment horizontal="center" vertical="center"/>
    </xf>
    <xf numFmtId="164" fontId="29" fillId="3" borderId="9" applyAlignment="1" pivotButton="0" quotePrefix="0" xfId="0">
      <alignment horizontal="center" vertical="center"/>
    </xf>
    <xf numFmtId="165" fontId="22" fillId="3" borderId="9" applyAlignment="1" pivotButton="0" quotePrefix="0" xfId="0">
      <alignment horizontal="center" vertical="center"/>
    </xf>
    <xf numFmtId="2" fontId="22" fillId="3" borderId="9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bottom"/>
    </xf>
    <xf numFmtId="49" fontId="32" fillId="7" borderId="2" applyAlignment="1" pivotButton="0" quotePrefix="0" xfId="0">
      <alignment horizontal="center" vertical="center"/>
    </xf>
    <xf numFmtId="0" fontId="33" fillId="3" borderId="0" applyAlignment="1" pivotButton="0" quotePrefix="0" xfId="0">
      <alignment horizontal="left" vertical="center"/>
    </xf>
    <xf numFmtId="49" fontId="32" fillId="8" borderId="2" applyAlignment="1" pivotButton="0" quotePrefix="0" xfId="0">
      <alignment horizontal="center" vertical="center"/>
    </xf>
    <xf numFmtId="49" fontId="32" fillId="9" borderId="2" applyAlignment="1" pivotButton="0" quotePrefix="0" xfId="0">
      <alignment horizontal="center" vertical="center"/>
    </xf>
    <xf numFmtId="49" fontId="32" fillId="10" borderId="2" applyAlignment="1" pivotButton="0" quotePrefix="0" xfId="0">
      <alignment horizontal="center" vertical="center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8" fillId="5" borderId="2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left" vertical="bottom"/>
    </xf>
    <xf numFmtId="0" fontId="38" fillId="0" borderId="2" applyAlignment="1" pivotButton="0" quotePrefix="0" xfId="0">
      <alignment horizontal="left" vertical="bottom"/>
    </xf>
    <xf numFmtId="0" fontId="39" fillId="0" borderId="2" applyAlignment="1" pivotButton="0" quotePrefix="0" xfId="0">
      <alignment horizontal="left" vertical="bottom"/>
    </xf>
    <xf numFmtId="0" fontId="40" fillId="0" borderId="2" applyAlignment="1" pivotButton="0" quotePrefix="0" xfId="0">
      <alignment horizontal="center" vertical="bottom"/>
    </xf>
    <xf numFmtId="166" fontId="41" fillId="0" borderId="2" applyAlignment="1" pivotButton="0" quotePrefix="0" xfId="0">
      <alignment horizontal="center" vertical="bottom"/>
    </xf>
    <xf numFmtId="0" fontId="40" fillId="0" borderId="2" applyAlignment="1" pivotButton="0" quotePrefix="0" xfId="0">
      <alignment horizontal="left" vertical="bottom"/>
    </xf>
    <xf numFmtId="0" fontId="41" fillId="0" borderId="2" applyAlignment="1" pivotButton="0" quotePrefix="0" xfId="0">
      <alignment horizontal="general" vertical="bottom"/>
    </xf>
    <xf numFmtId="0" fontId="41" fillId="0" borderId="2" applyAlignment="1" pivotButton="0" quotePrefix="0" xfId="0">
      <alignment horizontal="center" vertical="bottom"/>
    </xf>
    <xf numFmtId="3" fontId="41" fillId="0" borderId="2" applyAlignment="1" pivotButton="0" quotePrefix="0" xfId="0">
      <alignment horizontal="center" vertical="bottom"/>
    </xf>
    <xf numFmtId="0" fontId="42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2" fontId="41" fillId="0" borderId="2" applyAlignment="1" pivotButton="0" quotePrefix="0" xfId="0">
      <alignment horizontal="center" vertical="bottom"/>
    </xf>
    <xf numFmtId="167" fontId="41" fillId="0" borderId="2" applyAlignment="1" pivotButton="0" quotePrefix="0" xfId="0">
      <alignment horizontal="center" vertical="bottom"/>
    </xf>
    <xf numFmtId="168" fontId="41" fillId="0" borderId="2" applyAlignment="1" pivotButton="0" quotePrefix="0" xfId="0">
      <alignment horizontal="center" vertical="bottom"/>
    </xf>
    <xf numFmtId="0" fontId="37" fillId="0" borderId="2" applyAlignment="1" pivotButton="0" quotePrefix="0" xfId="0">
      <alignment horizontal="general" vertical="bottom"/>
    </xf>
    <xf numFmtId="2" fontId="37" fillId="0" borderId="2" applyAlignment="1" pivotButton="0" quotePrefix="0" xfId="0">
      <alignment horizontal="center" vertical="bottom"/>
    </xf>
    <xf numFmtId="0" fontId="37" fillId="0" borderId="2" applyAlignment="1" pivotButton="0" quotePrefix="0" xfId="0">
      <alignment horizontal="center" vertical="bottom"/>
    </xf>
    <xf numFmtId="168" fontId="37" fillId="0" borderId="2" applyAlignment="1" pivotButton="0" quotePrefix="0" xfId="0">
      <alignment horizontal="center" vertical="bottom"/>
    </xf>
    <xf numFmtId="166" fontId="37" fillId="0" borderId="2" applyAlignment="1" pivotButton="0" quotePrefix="0" xfId="0">
      <alignment horizontal="center" vertical="bottom"/>
    </xf>
    <xf numFmtId="0" fontId="43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1" fillId="5" borderId="0" applyAlignment="1" pivotButton="0" quotePrefix="0" xfId="0">
      <alignment horizontal="general" vertical="bottom"/>
    </xf>
    <xf numFmtId="0" fontId="42" fillId="10" borderId="2" applyAlignment="1" pivotButton="0" quotePrefix="0" xfId="0">
      <alignment horizontal="center" vertical="center" wrapText="1"/>
    </xf>
    <xf numFmtId="0" fontId="46" fillId="11" borderId="2" applyAlignment="1" pivotButton="0" quotePrefix="0" xfId="0">
      <alignment horizontal="center" vertical="bottom"/>
    </xf>
    <xf numFmtId="0" fontId="39" fillId="0" borderId="2" applyAlignment="1" pivotButton="0" quotePrefix="0" xfId="0">
      <alignment horizontal="general" vertical="bottom"/>
    </xf>
    <xf numFmtId="0" fontId="46" fillId="11" borderId="2" applyAlignment="1" pivotButton="0" quotePrefix="0" xfId="0">
      <alignment horizontal="left" vertical="bottom"/>
    </xf>
    <xf numFmtId="2" fontId="46" fillId="11" borderId="2" applyAlignment="1" pivotButton="0" quotePrefix="0" xfId="0">
      <alignment horizontal="center" vertical="bottom"/>
    </xf>
    <xf numFmtId="2" fontId="40" fillId="0" borderId="2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4" fontId="46" fillId="11" borderId="2" applyAlignment="1" pivotButton="0" quotePrefix="0" xfId="0">
      <alignment horizontal="center" vertical="bottom"/>
    </xf>
    <xf numFmtId="3" fontId="46" fillId="11" borderId="2" applyAlignment="1" pivotButton="0" quotePrefix="0" xfId="0">
      <alignment horizontal="center" vertical="bottom"/>
    </xf>
    <xf numFmtId="1" fontId="46" fillId="11" borderId="2" applyAlignment="1" pivotButton="0" quotePrefix="0" xfId="0">
      <alignment horizontal="center" vertical="bottom"/>
    </xf>
    <xf numFmtId="0" fontId="47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52" fillId="0" borderId="0" pivotButton="0" quotePrefix="0" xfId="0"/>
    <xf numFmtId="0" fontId="8" fillId="5" borderId="0" applyAlignment="1" pivotButton="0" quotePrefix="0" xfId="0">
      <alignment horizontal="general" vertical="bottom"/>
    </xf>
    <xf numFmtId="0" fontId="49" fillId="0" borderId="2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1" fontId="41" fillId="0" borderId="2" applyAlignment="1" pivotButton="0" quotePrefix="0" xfId="0">
      <alignment horizontal="center" vertical="bottom"/>
    </xf>
    <xf numFmtId="0" fontId="41" fillId="0" borderId="2" applyAlignment="1" pivotButton="0" quotePrefix="0" xfId="0">
      <alignment horizontal="left" vertical="bottom"/>
    </xf>
    <xf numFmtId="0" fontId="51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top" wrapText="1"/>
    </xf>
    <xf numFmtId="0" fontId="37" fillId="0" borderId="0" applyAlignment="1" pivotButton="0" quotePrefix="0" xfId="0">
      <alignment horizontal="general" vertical="top" wrapText="1"/>
    </xf>
    <xf numFmtId="0" fontId="39" fillId="0" borderId="0" applyAlignment="1" pivotButton="0" quotePrefix="0" xfId="0">
      <alignment horizontal="general" vertical="top" wrapText="1"/>
    </xf>
    <xf numFmtId="165" fontId="41" fillId="0" borderId="2" applyAlignment="1" pivotButton="0" quotePrefix="0" xfId="0">
      <alignment horizontal="center" vertical="bottom"/>
    </xf>
    <xf numFmtId="164" fontId="41" fillId="0" borderId="2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  <sz val="10"/>
      </font>
      <fill>
        <patternFill>
          <bgColor rgb="FFE7E6E6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B8860B"/>
      <rgbColor rgb="FF800080"/>
      <rgbColor rgb="FF0E7C7B"/>
      <rgbColor rgb="FFBFBFBF"/>
      <rgbColor rgb="FF7F7F7F"/>
      <rgbColor rgb="FF9999FF"/>
      <rgbColor rgb="FF993366"/>
      <rgbColor rgb="FFF2F2F2"/>
      <rgbColor rgb="FFE7E6E6"/>
      <rgbColor rgb="FF660066"/>
      <rgbColor rgb="FFFF8080"/>
      <rgbColor rgb="FF1257A6"/>
      <rgbColor rgb="FFD9E1F2"/>
      <rgbColor rgb="FF000080"/>
      <rgbColor rgb="FFFF00FF"/>
      <rgbColor rgb="FFFFFF00"/>
      <rgbColor rgb="FF00FFFF"/>
      <rgbColor rgb="FF800080"/>
      <rgbColor rgb="FF800000"/>
      <rgbColor rgb="FF127A34"/>
      <rgbColor rgb="FF0000FF"/>
      <rgbColor rgb="FF00CCFF"/>
      <rgbColor rgb="FFFFE69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7375E"/>
      <rgbColor rgb="FF006100"/>
      <rgbColor rgb="FF0F1E33"/>
      <rgbColor rgb="FF111318"/>
      <rgbColor rgb="FF9C5700"/>
      <rgbColor rgb="FF993366"/>
      <rgbColor rgb="FF595959"/>
      <rgbColor rgb="FF1F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5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P12" activeCellId="0" sqref="P12"/>
    </sheetView>
  </sheetViews>
  <sheetFormatPr baseColWidth="8" defaultColWidth="8.71484375" defaultRowHeight="15" zeroHeight="0" outlineLevelRow="0"/>
  <cols>
    <col hidden="1" width="2.14" customWidth="1" style="138" min="1" max="1"/>
    <col hidden="1" width="11" customWidth="1" style="138" min="2" max="2"/>
    <col hidden="1" width="30.43" customWidth="1" style="138" min="3" max="3"/>
    <col width="3.43" customWidth="1" style="138" min="4" max="5"/>
    <col width="16.14" customWidth="1" style="139" min="6" max="6"/>
    <col hidden="1" width="30.57" customWidth="1" style="138" min="7" max="7"/>
    <col width="17" customWidth="1" style="138" min="8" max="10"/>
    <col width="17.43" customWidth="1" style="138" min="11" max="12"/>
    <col width="2" customWidth="1" style="138" min="13" max="13"/>
    <col width="17.57" customWidth="1" style="138" min="14" max="14"/>
    <col hidden="1" width="16.72" customWidth="1" style="138" min="15" max="15"/>
    <col width="18.29" customWidth="1" style="138" min="16" max="18"/>
    <col width="16.43" customWidth="1" style="138" min="19" max="20"/>
    <col width="17.29" customWidth="1" style="138" min="24" max="24"/>
    <col width="14.29" customWidth="1" style="138" min="25" max="26"/>
    <col width="11.43" customWidth="1" style="138" min="27" max="27"/>
  </cols>
  <sheetData>
    <row r="1"/>
    <row r="2" ht="68.25" customHeight="1" s="140">
      <c r="A2" s="141" t="n"/>
      <c r="B2" s="142" t="n"/>
      <c r="C2" s="143" t="inlineStr">
        <is>
          <t>ENERGY FUTURES BID / ASK SPREAD MONITOR</t>
        </is>
      </c>
    </row>
    <row r="3" ht="21.75" customHeight="1" s="140">
      <c r="A3" s="141" t="n"/>
      <c r="B3" s="144" t="n"/>
      <c r="C3" s="145" t="n"/>
      <c r="F3" s="146" t="n"/>
      <c r="G3" s="147" t="n"/>
      <c r="L3" s="148" t="n"/>
    </row>
    <row r="4" ht="6.75" customHeight="1" s="140">
      <c r="A4" s="141" t="n"/>
      <c r="B4" s="149" t="inlineStr">
        <is>
          <t>TT MARKET</t>
        </is>
      </c>
      <c r="C4" s="149" t="inlineStr">
        <is>
          <t>CME</t>
        </is>
      </c>
    </row>
    <row r="5" ht="6.75" customHeight="1" s="140">
      <c r="A5" s="141" t="n"/>
      <c r="B5" s="150" t="inlineStr">
        <is>
          <t>TT SHORT NAME</t>
        </is>
      </c>
      <c r="C5" s="150" t="inlineStr">
        <is>
          <t>INSTRUMENT ID</t>
        </is>
      </c>
    </row>
    <row r="6" ht="23.25" customHeight="1" s="140">
      <c r="A6" s="141" t="n"/>
      <c r="B6" s="149" t="inlineStr">
        <is>
          <t>RBV6</t>
        </is>
      </c>
      <c r="C6" s="151" t="n"/>
      <c r="F6" s="152" t="inlineStr">
        <is>
          <t>Symbol</t>
        </is>
      </c>
      <c r="G6" s="153" t="inlineStr">
        <is>
          <t>Contract</t>
        </is>
      </c>
      <c r="H6" s="153" t="inlineStr">
        <is>
          <t>Bid</t>
        </is>
      </c>
      <c r="I6" s="153" t="inlineStr">
        <is>
          <t>Ask</t>
        </is>
      </c>
      <c r="J6" s="153" t="inlineStr">
        <is>
          <t>Gap</t>
        </is>
      </c>
      <c r="K6" s="153" t="inlineStr">
        <is>
          <t>High</t>
        </is>
      </c>
      <c r="L6" s="154" t="inlineStr">
        <is>
          <t>Low</t>
        </is>
      </c>
      <c r="M6" s="155" t="n"/>
      <c r="N6" s="152" t="inlineStr">
        <is>
          <t>Symbol</t>
        </is>
      </c>
      <c r="O6" s="153" t="inlineStr">
        <is>
          <t>Contract</t>
        </is>
      </c>
      <c r="P6" s="153" t="inlineStr">
        <is>
          <t>Bid</t>
        </is>
      </c>
      <c r="Q6" s="153" t="inlineStr">
        <is>
          <t>Ask</t>
        </is>
      </c>
      <c r="R6" s="153" t="inlineStr">
        <is>
          <t>Gap</t>
        </is>
      </c>
      <c r="S6" s="153" t="inlineStr">
        <is>
          <t>High</t>
        </is>
      </c>
      <c r="T6" s="154" t="inlineStr">
        <is>
          <t>Low</t>
        </is>
      </c>
      <c r="U6" s="156" t="n"/>
      <c r="V6" s="156" t="n"/>
    </row>
    <row r="7" ht="55.5" customHeight="1" s="140">
      <c r="A7" s="141" t="n"/>
      <c r="B7" s="149" t="inlineStr">
        <is>
          <t>HOV6</t>
        </is>
      </c>
      <c r="C7" s="151" t="n"/>
      <c r="D7" s="157" t="n"/>
      <c r="E7" s="157" t="n"/>
      <c r="F7" s="158" t="inlineStr">
        <is>
          <t>HOV26
HO Oct 26</t>
        </is>
      </c>
      <c r="G7" s="159" t="inlineStr">
        <is>
          <t>HO Oct 26</t>
        </is>
      </c>
      <c r="H7" s="160" t="n"/>
      <c r="I7" s="161" t="n"/>
      <c r="J7" s="162" t="n"/>
      <c r="K7" s="163" t="n"/>
      <c r="L7" s="164" t="n"/>
      <c r="M7" s="165" t="n"/>
      <c r="N7" s="158" t="inlineStr">
        <is>
          <t>BZV26
BZ Oct 26</t>
        </is>
      </c>
      <c r="O7" s="159" t="inlineStr">
        <is>
          <t>BZ Oct 26</t>
        </is>
      </c>
      <c r="P7" s="160" t="n"/>
      <c r="Q7" s="160" t="n"/>
      <c r="R7" s="166" t="n"/>
      <c r="S7" s="163" t="n"/>
      <c r="T7" s="164" t="n"/>
      <c r="U7" s="156" t="n"/>
      <c r="V7" s="156" t="n"/>
    </row>
    <row r="8" ht="55.5" customHeight="1" s="140">
      <c r="A8" s="141" t="n"/>
      <c r="B8" s="149" t="inlineStr">
        <is>
          <t>BZV6</t>
        </is>
      </c>
      <c r="C8" s="151" t="n"/>
      <c r="D8" s="157" t="n"/>
      <c r="E8" s="157" t="n"/>
      <c r="F8" s="167" t="inlineStr">
        <is>
          <t>CLV26
CL Oct 26</t>
        </is>
      </c>
      <c r="G8" s="168" t="inlineStr">
        <is>
          <t>CL Oct 26</t>
        </is>
      </c>
      <c r="H8" s="169" t="n"/>
      <c r="I8" s="169" t="n"/>
      <c r="J8" s="170" t="n"/>
      <c r="K8" s="171" t="n"/>
      <c r="L8" s="172" t="n"/>
      <c r="M8" s="165" t="n"/>
      <c r="N8" s="167" t="inlineStr">
        <is>
          <t>CLV26
CL Oct 26</t>
        </is>
      </c>
      <c r="O8" s="168" t="inlineStr">
        <is>
          <t>CL Oct 26</t>
        </is>
      </c>
      <c r="P8" s="169" t="n"/>
      <c r="Q8" s="169" t="n"/>
      <c r="R8" s="170" t="n"/>
      <c r="S8" s="171" t="n"/>
      <c r="T8" s="172" t="n"/>
      <c r="U8" s="156" t="n"/>
      <c r="V8" s="156" t="n"/>
    </row>
    <row r="9" ht="55.5" customHeight="1" s="140">
      <c r="A9" s="141" t="n"/>
      <c r="B9" s="149" t="inlineStr">
        <is>
          <t>CLV6</t>
        </is>
      </c>
      <c r="C9" s="151" t="n"/>
      <c r="D9" s="157" t="n"/>
      <c r="E9" s="157" t="n"/>
      <c r="F9" s="173" t="inlineStr">
        <is>
          <t>HO | CL Oct 26 Crack</t>
        </is>
      </c>
      <c r="G9" s="174" t="n"/>
      <c r="H9" s="175" t="n"/>
      <c r="I9" s="175" t="n"/>
      <c r="J9" s="176" t="n"/>
      <c r="K9" s="175" t="n"/>
      <c r="L9" s="177" t="n"/>
      <c r="M9" s="165" t="n"/>
      <c r="N9" s="178" t="inlineStr">
        <is>
          <t>BZ - CL</t>
        </is>
      </c>
      <c r="O9" s="179" t="n"/>
      <c r="P9" s="175" t="n"/>
      <c r="Q9" s="175" t="n"/>
      <c r="R9" s="176" t="n"/>
      <c r="S9" s="175" t="n"/>
      <c r="T9" s="177" t="n"/>
      <c r="U9" s="156" t="n"/>
      <c r="V9" s="156" t="n"/>
    </row>
    <row r="10" ht="36" customHeight="1" s="140">
      <c r="A10" s="141" t="n"/>
      <c r="B10" s="180" t="inlineStr">
        <is>
          <t>CL Oct26 - BZ Oct26 Inter-Product</t>
        </is>
      </c>
      <c r="C10" s="151" t="n"/>
      <c r="D10" s="157" t="n"/>
      <c r="E10" s="157" t="n"/>
      <c r="F10" s="165" t="n"/>
      <c r="G10" s="165" t="n"/>
      <c r="H10" s="165" t="n"/>
      <c r="I10" s="165" t="n"/>
      <c r="J10" s="165" t="n"/>
      <c r="K10" s="165" t="n"/>
      <c r="L10" s="165" t="n"/>
      <c r="M10" s="165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</row>
    <row r="11" ht="23.25" customHeight="1" s="140">
      <c r="A11" s="141" t="n"/>
      <c r="B11" s="180" t="n"/>
      <c r="C11" s="151" t="n"/>
      <c r="D11" s="157" t="n"/>
      <c r="E11" s="157" t="n"/>
      <c r="F11" s="152" t="inlineStr">
        <is>
          <t>Symbol</t>
        </is>
      </c>
      <c r="G11" s="153" t="inlineStr">
        <is>
          <t>Contract</t>
        </is>
      </c>
      <c r="H11" s="153" t="inlineStr">
        <is>
          <t>Bid</t>
        </is>
      </c>
      <c r="I11" s="153" t="inlineStr">
        <is>
          <t>Ask</t>
        </is>
      </c>
      <c r="J11" s="153" t="inlineStr">
        <is>
          <t>Gap</t>
        </is>
      </c>
      <c r="K11" s="153" t="inlineStr">
        <is>
          <t>High</t>
        </is>
      </c>
      <c r="L11" s="154" t="inlineStr">
        <is>
          <t>Low</t>
        </is>
      </c>
      <c r="M11" s="165" t="n"/>
      <c r="N11" s="181" t="inlineStr">
        <is>
          <t>Symbol</t>
        </is>
      </c>
      <c r="O11" s="181" t="inlineStr">
        <is>
          <t>Contract</t>
        </is>
      </c>
      <c r="P11" s="181" t="inlineStr">
        <is>
          <t>Bid</t>
        </is>
      </c>
      <c r="Q11" s="181" t="inlineStr">
        <is>
          <t>Ask</t>
        </is>
      </c>
      <c r="R11" s="181" t="inlineStr">
        <is>
          <t>Gap</t>
        </is>
      </c>
      <c r="S11" s="181" t="inlineStr">
        <is>
          <t>High</t>
        </is>
      </c>
      <c r="T11" s="181" t="inlineStr">
        <is>
          <t>Low</t>
        </is>
      </c>
      <c r="U11" s="156" t="n"/>
      <c r="V11" s="156" t="n"/>
    </row>
    <row r="12" ht="50.25" customHeight="1" s="140">
      <c r="A12" s="141" t="n"/>
      <c r="B12" s="180" t="inlineStr">
        <is>
          <t>Oct26 HO-CL Crack</t>
        </is>
      </c>
      <c r="C12" s="151" t="n"/>
      <c r="D12" s="157" t="n"/>
      <c r="E12" s="157" t="n"/>
      <c r="F12" s="182" t="inlineStr">
        <is>
          <t>RBV26</t>
        </is>
      </c>
      <c r="G12" s="159" t="inlineStr">
        <is>
          <t>RB Oct 26</t>
        </is>
      </c>
      <c r="H12" s="160" t="n"/>
      <c r="I12" s="160" t="n"/>
      <c r="J12" s="162" t="n"/>
      <c r="K12" s="163" t="n"/>
      <c r="L12" s="164" t="n"/>
      <c r="M12" s="165" t="n"/>
      <c r="N12" s="183" t="inlineStr">
        <is>
          <t>CL Oct-Dec
Calendar</t>
        </is>
      </c>
      <c r="O12" s="165" t="n"/>
      <c r="P12" s="184" t="n"/>
      <c r="Q12" s="184" t="n"/>
      <c r="R12" s="185" t="n"/>
      <c r="S12" s="184" t="n"/>
      <c r="T12" s="184" t="n"/>
      <c r="U12" s="156" t="n"/>
      <c r="V12" s="156" t="n"/>
    </row>
    <row r="13" ht="50.25" customHeight="1" s="140">
      <c r="A13" s="141" t="n"/>
      <c r="D13" s="157" t="n"/>
      <c r="E13" s="157" t="n"/>
      <c r="F13" s="186" t="inlineStr">
        <is>
          <t>HOV26</t>
        </is>
      </c>
      <c r="G13" s="168" t="inlineStr">
        <is>
          <t>HO Oct 26</t>
        </is>
      </c>
      <c r="H13" s="169" t="n"/>
      <c r="I13" s="169" t="n"/>
      <c r="J13" s="187" t="n"/>
      <c r="K13" s="171" t="n"/>
      <c r="L13" s="172" t="n"/>
      <c r="M13" s="165" t="n"/>
      <c r="N13" s="188" t="n"/>
      <c r="O13" s="188" t="n"/>
      <c r="P13" s="188" t="n"/>
      <c r="Q13" s="188" t="n"/>
      <c r="R13" s="188" t="n"/>
      <c r="S13" s="188" t="n"/>
      <c r="T13" s="188" t="n"/>
      <c r="U13" s="156" t="n"/>
      <c r="V13" s="156" t="n"/>
    </row>
    <row r="14" ht="50.25" customHeight="1" s="140">
      <c r="A14" s="141" t="n"/>
      <c r="D14" s="157" t="n"/>
      <c r="E14" s="157" t="n"/>
      <c r="F14" s="182" t="inlineStr">
        <is>
          <t>CLV26</t>
        </is>
      </c>
      <c r="G14" s="159" t="inlineStr">
        <is>
          <t>CL Oct 26</t>
        </is>
      </c>
      <c r="H14" s="160" t="n"/>
      <c r="I14" s="160" t="n"/>
      <c r="J14" s="166" t="n"/>
      <c r="K14" s="163" t="n"/>
      <c r="L14" s="164" t="n"/>
      <c r="M14" s="165" t="n"/>
      <c r="N14" s="189" t="n"/>
      <c r="O14" s="190" t="n"/>
      <c r="P14" s="191" t="n"/>
      <c r="Q14" s="191" t="n"/>
      <c r="R14" s="192" t="n"/>
      <c r="S14" s="193" t="n"/>
      <c r="T14" s="193" t="n"/>
      <c r="U14" s="156" t="n"/>
      <c r="V14" s="156" t="n"/>
    </row>
    <row r="15" ht="50.25" customHeight="1" s="140">
      <c r="A15" s="141" t="n"/>
      <c r="D15" s="157" t="n"/>
      <c r="E15" s="157" t="n"/>
      <c r="F15" s="194" t="inlineStr">
        <is>
          <t>3:2:1</t>
        </is>
      </c>
      <c r="G15" s="195" t="n"/>
      <c r="H15" s="196" t="n"/>
      <c r="I15" s="196" t="n"/>
      <c r="J15" s="197" t="n"/>
      <c r="K15" s="196" t="n"/>
      <c r="L15" s="198" t="n"/>
      <c r="M15" s="165" t="n"/>
      <c r="N15" s="189" t="n"/>
      <c r="O15" s="190" t="n"/>
      <c r="P15" s="191" t="n"/>
      <c r="Q15" s="191" t="n"/>
      <c r="R15" s="192" t="n"/>
      <c r="S15" s="193" t="n"/>
      <c r="T15" s="193" t="n"/>
      <c r="U15" s="156" t="n"/>
      <c r="V15" s="156" t="n"/>
    </row>
    <row r="16" ht="42" customHeight="1" s="140">
      <c r="A16" s="141" t="n"/>
      <c r="D16" s="157" t="n"/>
      <c r="E16" s="157" t="n"/>
      <c r="F16" s="199" t="n"/>
      <c r="G16" s="200" t="n"/>
      <c r="H16" s="200" t="n"/>
      <c r="I16" s="200" t="n"/>
      <c r="J16" s="200" t="n"/>
      <c r="K16" s="200" t="n"/>
      <c r="L16" s="200" t="n"/>
      <c r="M16" s="200" t="n"/>
      <c r="S16" s="201" t="n"/>
      <c r="T16" s="201" t="n"/>
    </row>
    <row r="17" ht="44.25" customHeight="1" s="140">
      <c r="A17" s="141" t="n"/>
      <c r="F17" s="202" t="inlineStr">
        <is>
          <t>Z-SCORE MONITOR      z is for ENTRIES only - exits act on money, never on z.      The chime fires on the CROSSING of ENTRY_Z, once.</t>
        </is>
      </c>
    </row>
    <row r="18" ht="23.25" customHeight="1" s="140">
      <c r="A18" s="141" t="n"/>
      <c r="F18" s="203" t="inlineStr">
        <is>
          <t>Spread</t>
        </is>
      </c>
      <c r="H18" s="203" t="inlineStr">
        <is>
          <t>Bid</t>
        </is>
      </c>
      <c r="I18" s="203" t="inlineStr">
        <is>
          <t>Direction</t>
        </is>
      </c>
      <c r="J18" s="203" t="inlineStr">
        <is>
          <t>Z-score</t>
        </is>
      </c>
      <c r="K18" s="203" t="inlineStr">
        <is>
          <t>Mean</t>
        </is>
      </c>
      <c r="L18" s="203" t="inlineStr">
        <is>
          <t>Std Dev</t>
        </is>
      </c>
      <c r="N18" s="203" t="inlineStr">
        <is>
          <t>Signal</t>
        </is>
      </c>
      <c r="P18" s="203" t="inlineStr">
        <is>
          <t>Window</t>
        </is>
      </c>
      <c r="Q18" s="203" t="inlineStr">
        <is>
          <t>Costs $</t>
        </is>
      </c>
      <c r="R18" s="203" t="inlineStr">
        <is>
          <t>Win $</t>
        </is>
      </c>
      <c r="S18" s="203" t="inlineStr">
        <is>
          <t>TAKE PROFIT</t>
        </is>
      </c>
      <c r="T18" s="203" t="inlineStr">
        <is>
          <t>TP in sigma</t>
        </is>
      </c>
    </row>
    <row r="19" ht="50.25" customHeight="1" s="140">
      <c r="A19" s="141" t="n"/>
      <c r="F19" s="204" t="inlineStr">
        <is>
          <t>HO | CL Crack</t>
        </is>
      </c>
      <c r="H19" s="185" t="n"/>
      <c r="I19" s="205" t="n"/>
      <c r="J19" s="184" t="n"/>
      <c r="K19" s="206" t="n"/>
      <c r="L19" s="206" t="n"/>
      <c r="N19" s="205" t="n"/>
      <c r="P19" s="205" t="n"/>
      <c r="Q19" s="207" t="n"/>
      <c r="R19" s="207" t="n"/>
      <c r="S19" s="185" t="n"/>
      <c r="T19" s="208" t="n"/>
    </row>
    <row r="20" ht="50.25" customHeight="1" s="140">
      <c r="A20" s="141" t="n"/>
      <c r="F20" s="204" t="inlineStr">
        <is>
          <t>BZ - CL</t>
        </is>
      </c>
      <c r="H20" s="185" t="n"/>
      <c r="I20" s="205" t="n"/>
      <c r="J20" s="184" t="n"/>
      <c r="K20" s="206" t="n"/>
      <c r="L20" s="206" t="n"/>
      <c r="N20" s="205" t="n"/>
      <c r="P20" s="205" t="n"/>
      <c r="Q20" s="207" t="n"/>
      <c r="R20" s="207" t="n"/>
      <c r="S20" s="185" t="n"/>
      <c r="T20" s="208" t="n"/>
    </row>
    <row r="21" ht="50.25" customHeight="1" s="140">
      <c r="A21" s="141" t="n"/>
      <c r="F21" s="204" t="inlineStr">
        <is>
          <t>3:2:1</t>
        </is>
      </c>
      <c r="H21" s="185" t="n"/>
      <c r="I21" s="205" t="n"/>
      <c r="J21" s="184" t="n"/>
      <c r="K21" s="206" t="n"/>
      <c r="L21" s="206" t="n"/>
      <c r="N21" s="205" t="n"/>
      <c r="P21" s="205" t="n"/>
      <c r="Q21" s="207" t="n"/>
      <c r="R21" s="207" t="n"/>
      <c r="S21" s="185" t="n"/>
      <c r="T21" s="208" t="n"/>
    </row>
    <row r="22" ht="50.25" customHeight="1" s="140">
      <c r="A22" s="141" t="n"/>
      <c r="F22" s="209" t="inlineStr">
        <is>
          <t>CL Oct-Dec Calendar</t>
        </is>
      </c>
      <c r="G22" s="210" t="n"/>
      <c r="H22" s="211" t="n"/>
      <c r="I22" s="212" t="n"/>
      <c r="J22" s="213" t="n"/>
      <c r="K22" s="214" t="n"/>
      <c r="L22" s="214" t="n"/>
      <c r="N22" s="212" t="n"/>
      <c r="P22" s="212" t="n"/>
      <c r="Q22" s="215" t="n"/>
      <c r="R22" s="215" t="n"/>
      <c r="S22" s="211" t="n"/>
      <c r="T22" s="216" t="n"/>
    </row>
    <row r="23" ht="36" customHeight="1" s="140">
      <c r="A23" s="141" t="n"/>
      <c r="F23" s="217" t="n"/>
      <c r="G23" s="210" t="n"/>
      <c r="H23" s="210" t="n"/>
      <c r="I23" s="210" t="n"/>
      <c r="J23" s="210" t="n"/>
    </row>
    <row r="24" ht="36" customHeight="1" s="140">
      <c r="A24" s="141" t="n"/>
      <c r="F24" s="218" t="inlineStr">
        <is>
          <t>STOPPED</t>
        </is>
      </c>
      <c r="G24" s="210" t="n"/>
      <c r="H24" s="219" t="inlineStr">
        <is>
          <t>-</t>
        </is>
      </c>
      <c r="I24" s="210" t="n"/>
      <c r="J24" s="210" t="n"/>
      <c r="N24" s="220" t="inlineStr">
        <is>
          <t xml:space="preserve">  &gt;  START  </t>
        </is>
      </c>
      <c r="P24" s="221" t="inlineStr">
        <is>
          <t xml:space="preserve">  #  STOP  </t>
        </is>
      </c>
      <c r="R24" s="222" t="inlineStr">
        <is>
          <t xml:space="preserve">  TEST CHIME  </t>
        </is>
      </c>
    </row>
    <row r="25" ht="15" customHeight="1" s="140">
      <c r="A25" s="141" t="n"/>
    </row>
    <row r="26" ht="39.75" customHeight="1" s="140">
      <c r="A26" s="141" t="n"/>
    </row>
    <row r="27" ht="15" customHeight="1" s="140">
      <c r="A27" s="141" t="n"/>
    </row>
    <row r="28" ht="15" customHeight="1" s="140">
      <c r="A28" s="141" t="n"/>
    </row>
    <row r="29" ht="36" customHeight="1" s="140">
      <c r="A29" s="141" t="n"/>
      <c r="F29" s="217" t="n"/>
      <c r="G29" s="210" t="n"/>
      <c r="H29" s="210" t="n"/>
      <c r="I29" s="210" t="n"/>
      <c r="J29" s="210" t="n"/>
    </row>
    <row r="30" ht="36" customHeight="1" s="140">
      <c r="A30" s="141" t="n"/>
      <c r="F30" s="217" t="n"/>
      <c r="G30" s="210" t="n"/>
      <c r="H30" s="210" t="n"/>
      <c r="I30" s="210" t="n"/>
      <c r="J30" s="210" t="n"/>
    </row>
    <row r="31" ht="36" customHeight="1" s="140">
      <c r="A31" s="141" t="n"/>
      <c r="F31" s="217" t="n"/>
      <c r="G31" s="210" t="n"/>
      <c r="H31" s="210" t="n"/>
      <c r="I31" s="210" t="n"/>
      <c r="J31" s="210" t="n"/>
    </row>
    <row r="32" ht="36" customHeight="1" s="140">
      <c r="A32" s="141" t="n"/>
      <c r="F32" s="217" t="n"/>
      <c r="G32" s="210" t="n"/>
      <c r="H32" s="210" t="n"/>
      <c r="I32" s="210" t="n"/>
      <c r="J32" s="210" t="n"/>
    </row>
    <row r="33" ht="36" customHeight="1" s="140">
      <c r="A33" s="141" t="n"/>
      <c r="F33" s="217" t="n"/>
      <c r="G33" s="210" t="n"/>
      <c r="H33" s="210" t="n"/>
      <c r="I33" s="210" t="n"/>
      <c r="J33" s="210" t="n"/>
    </row>
    <row r="34" ht="36" customHeight="1" s="140">
      <c r="A34" s="141" t="n"/>
      <c r="F34" s="217" t="n"/>
      <c r="G34" s="210" t="n"/>
      <c r="H34" s="210" t="n"/>
      <c r="I34" s="210" t="n"/>
      <c r="J34" s="210" t="n"/>
    </row>
    <row r="35" ht="36" customHeight="1" s="140">
      <c r="A35" s="141" t="n"/>
      <c r="F35" s="217" t="n"/>
      <c r="G35" s="210" t="n"/>
      <c r="H35" s="210" t="n"/>
      <c r="I35" s="210" t="n"/>
      <c r="J35" s="210" t="n"/>
    </row>
    <row r="36" ht="36" customHeight="1" s="140">
      <c r="A36" s="141" t="n"/>
      <c r="F36" s="217" t="n"/>
      <c r="G36" s="210" t="n"/>
      <c r="H36" s="210" t="n"/>
      <c r="I36" s="210" t="n"/>
      <c r="J36" s="210" t="n"/>
    </row>
    <row r="37" ht="36" customHeight="1" s="140">
      <c r="A37" s="141" t="n"/>
      <c r="F37" s="217" t="n"/>
      <c r="G37" s="210" t="n"/>
      <c r="H37" s="210" t="n"/>
      <c r="I37" s="210" t="n"/>
      <c r="J37" s="210" t="n"/>
    </row>
    <row r="38" ht="36" customHeight="1" s="140">
      <c r="A38" s="141" t="n"/>
      <c r="F38" s="217" t="n"/>
      <c r="G38" s="210" t="n"/>
      <c r="H38" s="210" t="n"/>
      <c r="I38" s="210" t="n"/>
      <c r="J38" s="210" t="n"/>
    </row>
    <row r="39" ht="36" customHeight="1" s="140">
      <c r="A39" s="141" t="n"/>
      <c r="F39" s="217" t="n"/>
      <c r="G39" s="210" t="n"/>
      <c r="H39" s="210" t="n"/>
      <c r="I39" s="210" t="n"/>
      <c r="J39" s="210" t="n"/>
    </row>
    <row r="40" ht="36" customHeight="1" s="140">
      <c r="F40" s="217" t="n"/>
      <c r="G40" s="210" t="n"/>
      <c r="H40" s="210" t="n"/>
      <c r="I40" s="210" t="n"/>
      <c r="J40" s="210" t="n"/>
    </row>
    <row r="41" ht="36" customHeight="1" s="140">
      <c r="F41" s="217" t="n"/>
      <c r="G41" s="210" t="n"/>
      <c r="H41" s="210" t="n"/>
      <c r="I41" s="210" t="n"/>
      <c r="J41" s="210" t="n"/>
    </row>
    <row r="42" ht="36" customHeight="1" s="140">
      <c r="F42" s="217" t="n"/>
      <c r="G42" s="210" t="n"/>
      <c r="H42" s="210" t="n"/>
      <c r="I42" s="210" t="n"/>
      <c r="J42" s="210" t="n"/>
    </row>
    <row r="43" ht="36" customHeight="1" s="140">
      <c r="F43" s="217" t="n"/>
      <c r="G43" s="210" t="n"/>
      <c r="H43" s="210" t="n"/>
      <c r="I43" s="210" t="n"/>
      <c r="J43" s="210" t="n"/>
    </row>
    <row r="44" ht="36" customHeight="1" s="140">
      <c r="F44" s="217" t="n"/>
      <c r="G44" s="210" t="n"/>
      <c r="H44" s="210" t="n"/>
      <c r="I44" s="210" t="n"/>
      <c r="J44" s="210" t="n"/>
    </row>
    <row r="45" ht="36" customHeight="1" s="140">
      <c r="F45" s="217" t="n"/>
      <c r="G45" s="210" t="n"/>
      <c r="H45" s="210" t="n"/>
      <c r="I45" s="210" t="n"/>
      <c r="J45" s="210" t="n"/>
    </row>
    <row r="46" ht="36" customHeight="1" s="140">
      <c r="F46" s="217" t="n"/>
      <c r="G46" s="210" t="n"/>
      <c r="H46" s="210" t="n"/>
      <c r="I46" s="210" t="n"/>
      <c r="J46" s="210" t="n"/>
    </row>
    <row r="47" ht="36" customHeight="1" s="140">
      <c r="F47" s="217" t="n"/>
      <c r="G47" s="210" t="n"/>
      <c r="H47" s="210" t="n"/>
      <c r="I47" s="210" t="n"/>
      <c r="J47" s="210" t="n"/>
    </row>
    <row r="48" ht="36" customHeight="1" s="140">
      <c r="F48" s="217" t="n"/>
      <c r="G48" s="210" t="n"/>
      <c r="H48" s="210" t="n"/>
      <c r="I48" s="210" t="n"/>
      <c r="J48" s="210" t="n"/>
    </row>
    <row r="49" ht="36" customHeight="1" s="140">
      <c r="F49" s="217" t="n"/>
      <c r="G49" s="210" t="n"/>
      <c r="H49" s="210" t="n"/>
      <c r="I49" s="210" t="n"/>
      <c r="J49" s="210" t="n"/>
    </row>
    <row r="50" ht="36" customHeight="1" s="140">
      <c r="F50" s="217" t="n"/>
      <c r="G50" s="210" t="n"/>
      <c r="H50" s="210" t="n"/>
      <c r="I50" s="210" t="n"/>
      <c r="J50" s="210" t="n"/>
    </row>
    <row r="51" ht="36" customHeight="1" s="140">
      <c r="F51" s="217" t="n"/>
      <c r="G51" s="210" t="n"/>
      <c r="H51" s="210" t="n"/>
      <c r="I51" s="210" t="n"/>
      <c r="J51" s="210" t="n"/>
    </row>
  </sheetData>
  <mergeCells count="4">
    <mergeCell ref="F15:G15"/>
    <mergeCell ref="B2:B3"/>
    <mergeCell ref="C2:T2"/>
    <mergeCell ref="F17:T17"/>
  </mergeCells>
  <conditionalFormatting sqref="J19">
    <cfRule type="expression" rank="0" priority="2" equalAverage="0" aboveAverage="0" dxfId="0" text="" percent="0" bottom="0">
      <formula>OR($N$19="NO USABLE Z",$N$19="STALE FEED")</formula>
    </cfRule>
    <cfRule type="expression" rank="0" priority="3" equalAverage="0" aboveAverage="0" dxfId="1" text="" percent="0" bottom="0">
      <formula>$N$19="WARMING UP"</formula>
    </cfRule>
    <cfRule type="expression" rank="0" priority="4" equalAverage="0" aboveAverage="0" dxfId="2" text="" percent="0" bottom="0">
      <formula>$N$19="ABOVE CEILING"</formula>
    </cfRule>
    <cfRule type="expression" rank="0" priority="5" equalAverage="0" aboveAverage="0" dxfId="3" text="" percent="0" bottom="0">
      <formula>$N$19="ENTRY BAND"</formula>
    </cfRule>
  </conditionalFormatting>
  <conditionalFormatting sqref="N19">
    <cfRule type="expression" rank="0" priority="6" equalAverage="0" aboveAverage="0" dxfId="0" text="" percent="0" bottom="0">
      <formula>OR($N$19="NO USABLE Z",$N$19="STALE FEED")</formula>
    </cfRule>
    <cfRule type="expression" rank="0" priority="7" equalAverage="0" aboveAverage="0" dxfId="1" text="" percent="0" bottom="0">
      <formula>$N$19="WARMING UP"</formula>
    </cfRule>
    <cfRule type="expression" rank="0" priority="8" equalAverage="0" aboveAverage="0" dxfId="2" text="" percent="0" bottom="0">
      <formula>$N$19="ABOVE CEILING"</formula>
    </cfRule>
    <cfRule type="expression" rank="0" priority="9" equalAverage="0" aboveAverage="0" dxfId="3" text="" percent="0" bottom="0">
      <formula>$N$19="ENTRY BAND"</formula>
    </cfRule>
  </conditionalFormatting>
  <conditionalFormatting sqref="T19">
    <cfRule type="expression" rank="0" priority="10" equalAverage="0" aboveAverage="0" dxfId="2" text="" percent="0" bottom="0">
      <formula>AND(ISNUMBER($T$19),ISNUMBER($J$19),$T$19&gt;ABS($J$19))</formula>
    </cfRule>
  </conditionalFormatting>
  <conditionalFormatting sqref="J20">
    <cfRule type="expression" rank="0" priority="11" equalAverage="0" aboveAverage="0" dxfId="0" text="" percent="0" bottom="0">
      <formula>OR($N$20="NO USABLE Z",$N$20="STALE FEED")</formula>
    </cfRule>
    <cfRule type="expression" rank="0" priority="12" equalAverage="0" aboveAverage="0" dxfId="1" text="" percent="0" bottom="0">
      <formula>$N$20="WARMING UP"</formula>
    </cfRule>
    <cfRule type="expression" rank="0" priority="13" equalAverage="0" aboveAverage="0" dxfId="2" text="" percent="0" bottom="0">
      <formula>$N$20="ABOVE CEILING"</formula>
    </cfRule>
    <cfRule type="expression" rank="0" priority="14" equalAverage="0" aboveAverage="0" dxfId="3" text="" percent="0" bottom="0">
      <formula>$N$20="ENTRY BAND"</formula>
    </cfRule>
  </conditionalFormatting>
  <conditionalFormatting sqref="N20">
    <cfRule type="expression" rank="0" priority="15" equalAverage="0" aboveAverage="0" dxfId="0" text="" percent="0" bottom="0">
      <formula>OR($N$20="NO USABLE Z",$N$20="STALE FEED")</formula>
    </cfRule>
    <cfRule type="expression" rank="0" priority="16" equalAverage="0" aboveAverage="0" dxfId="1" text="" percent="0" bottom="0">
      <formula>$N$20="WARMING UP"</formula>
    </cfRule>
    <cfRule type="expression" rank="0" priority="17" equalAverage="0" aboveAverage="0" dxfId="2" text="" percent="0" bottom="0">
      <formula>$N$20="ABOVE CEILING"</formula>
    </cfRule>
    <cfRule type="expression" rank="0" priority="18" equalAverage="0" aboveAverage="0" dxfId="3" text="" percent="0" bottom="0">
      <formula>$N$20="ENTRY BAND"</formula>
    </cfRule>
  </conditionalFormatting>
  <conditionalFormatting sqref="T20">
    <cfRule type="expression" rank="0" priority="19" equalAverage="0" aboveAverage="0" dxfId="2" text="" percent="0" bottom="0">
      <formula>AND(ISNUMBER($T$20),ISNUMBER($J$20),$T$20&gt;ABS($J$20))</formula>
    </cfRule>
  </conditionalFormatting>
  <conditionalFormatting sqref="J21">
    <cfRule type="expression" rank="0" priority="20" equalAverage="0" aboveAverage="0" dxfId="0" text="" percent="0" bottom="0">
      <formula>OR($N$21="NO USABLE Z",$N$21="STALE FEED")</formula>
    </cfRule>
    <cfRule type="expression" rank="0" priority="21" equalAverage="0" aboveAverage="0" dxfId="1" text="" percent="0" bottom="0">
      <formula>$N$21="WARMING UP"</formula>
    </cfRule>
    <cfRule type="expression" rank="0" priority="22" equalAverage="0" aboveAverage="0" dxfId="2" text="" percent="0" bottom="0">
      <formula>$N$21="ABOVE CEILING"</formula>
    </cfRule>
    <cfRule type="expression" rank="0" priority="23" equalAverage="0" aboveAverage="0" dxfId="3" text="" percent="0" bottom="0">
      <formula>$N$21="ENTRY BAND"</formula>
    </cfRule>
  </conditionalFormatting>
  <conditionalFormatting sqref="N21">
    <cfRule type="expression" rank="0" priority="24" equalAverage="0" aboveAverage="0" dxfId="0" text="" percent="0" bottom="0">
      <formula>OR($N$21="NO USABLE Z",$N$21="STALE FEED")</formula>
    </cfRule>
    <cfRule type="expression" rank="0" priority="25" equalAverage="0" aboveAverage="0" dxfId="1" text="" percent="0" bottom="0">
      <formula>$N$21="WARMING UP"</formula>
    </cfRule>
    <cfRule type="expression" rank="0" priority="26" equalAverage="0" aboveAverage="0" dxfId="2" text="" percent="0" bottom="0">
      <formula>$N$21="ABOVE CEILING"</formula>
    </cfRule>
    <cfRule type="expression" rank="0" priority="27" equalAverage="0" aboveAverage="0" dxfId="3" text="" percent="0" bottom="0">
      <formula>$N$21="ENTRY BAND"</formula>
    </cfRule>
  </conditionalFormatting>
  <conditionalFormatting sqref="T21">
    <cfRule type="expression" rank="0" priority="28" equalAverage="0" aboveAverage="0" dxfId="2" text="" percent="0" bottom="0">
      <formula>AND(ISNUMBER($T$21),ISNUMBER($J$21),$T$21&gt;ABS($J$21))</formula>
    </cfRule>
  </conditionalFormatting>
  <conditionalFormatting sqref="J22">
    <cfRule type="expression" rank="0" priority="29" equalAverage="0" aboveAverage="0" dxfId="0" text="" percent="0" bottom="0">
      <formula>OR($N$22="NO USABLE Z",$N$22="STALE FEED")</formula>
    </cfRule>
    <cfRule type="expression" rank="0" priority="30" equalAverage="0" aboveAverage="0" dxfId="1" text="" percent="0" bottom="0">
      <formula>$N$22="WARMING UP"</formula>
    </cfRule>
    <cfRule type="expression" rank="0" priority="31" equalAverage="0" aboveAverage="0" dxfId="2" text="" percent="0" bottom="0">
      <formula>$N$22="ABOVE CEILING"</formula>
    </cfRule>
    <cfRule type="expression" rank="0" priority="32" equalAverage="0" aboveAverage="0" dxfId="3" text="" percent="0" bottom="0">
      <formula>$N$22="ENTRY BAND"</formula>
    </cfRule>
  </conditionalFormatting>
  <conditionalFormatting sqref="N22">
    <cfRule type="expression" rank="0" priority="33" equalAverage="0" aboveAverage="0" dxfId="0" text="" percent="0" bottom="0">
      <formula>OR($N$22="NO USABLE Z",$N$22="STALE FEED")</formula>
    </cfRule>
    <cfRule type="expression" rank="0" priority="34" equalAverage="0" aboveAverage="0" dxfId="1" text="" percent="0" bottom="0">
      <formula>$N$22="WARMING UP"</formula>
    </cfRule>
    <cfRule type="expression" rank="0" priority="35" equalAverage="0" aboveAverage="0" dxfId="2" text="" percent="0" bottom="0">
      <formula>$N$22="ABOVE CEILING"</formula>
    </cfRule>
    <cfRule type="expression" rank="0" priority="36" equalAverage="0" aboveAverage="0" dxfId="3" text="" percent="0" bottom="0">
      <formula>$N$22="ENTRY BAND"</formula>
    </cfRule>
  </conditionalFormatting>
  <conditionalFormatting sqref="T22">
    <cfRule type="expression" rank="0" priority="37" equalAverage="0" aboveAverage="0" dxfId="2" text="" percent="0" bottom="0">
      <formula>AND(ISNUMBER($T$22),ISNUMBER($J$22),$T$22&gt;ABS($J$22))</formula>
    </cfRule>
  </conditionalFormatting>
  <conditionalFormatting sqref="F24">
    <cfRule type="expression" rank="0" priority="38" equalAverage="0" aboveAverage="0" dxfId="3" text="" percent="0" bottom="0">
      <formula>F24="RUNNING"</formula>
    </cfRule>
  </conditionalFormatting>
  <pageMargins left="0.75" right="0.75" top="1" bottom="1" header="0.511811023622047" footer="0.511811023622047"/>
  <pageSetup orientation="landscape" scale="91" horizontalDpi="300" verticalDpi="300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M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5390625" defaultRowHeight="15" zeroHeight="0" outlineLevelRow="0"/>
  <cols>
    <col width="3" customWidth="1" style="138" min="1" max="1"/>
    <col width="32" customWidth="1" style="138" min="2" max="2"/>
    <col width="20" customWidth="1" style="138" min="3" max="3"/>
    <col width="18" customWidth="1" style="138" min="4" max="7"/>
    <col width="12" customWidth="1" style="138" min="8" max="11"/>
    <col width="14" customWidth="1" style="138" min="12" max="12"/>
    <col width="46" customWidth="1" style="138" min="13" max="13"/>
  </cols>
  <sheetData>
    <row r="1" ht="17.35" customHeight="1" s="140">
      <c r="B1" s="223" t="inlineStr">
        <is>
          <t>DETAIL   -   full breakdown behind the Dashboard</t>
        </is>
      </c>
    </row>
    <row r="2" ht="15" customHeight="1" s="140">
      <c r="B2" s="224" t="inlineStr">
        <is>
          <t>Same engine, same numbers. The Dashboard shows the three spreads you trade from; this sheet shows everything that stands behind them, for all four slots.</t>
        </is>
      </c>
    </row>
    <row r="3"/>
    <row r="4" ht="15" customHeight="1" s="140">
      <c r="B4" s="225" t="inlineStr">
        <is>
          <t>OUTRIGHT LEGS</t>
        </is>
      </c>
    </row>
    <row r="5" ht="15" customHeight="1" s="140">
      <c r="B5" s="226" t="inlineStr">
        <is>
          <t>Symbol</t>
        </is>
      </c>
      <c r="C5" s="226" t="inlineStr">
        <is>
          <t>Instrument ID</t>
        </is>
      </c>
      <c r="D5" s="226" t="inlineStr">
        <is>
          <t>Description</t>
        </is>
      </c>
      <c r="E5" s="226" t="inlineStr">
        <is>
          <t>Contract</t>
        </is>
      </c>
      <c r="H5" s="226" t="inlineStr">
        <is>
          <t>Bid</t>
        </is>
      </c>
      <c r="I5" s="226" t="inlineStr">
        <is>
          <t>Ask</t>
        </is>
      </c>
      <c r="J5" s="226" t="inlineStr">
        <is>
          <t>High</t>
        </is>
      </c>
      <c r="K5" s="226" t="inlineStr">
        <is>
          <t>Low</t>
        </is>
      </c>
      <c r="L5" s="226" t="inlineStr">
        <is>
          <t>Mid</t>
        </is>
      </c>
      <c r="M5" s="226" t="inlineStr">
        <is>
          <t>Gap</t>
        </is>
      </c>
    </row>
    <row r="6" ht="15" customHeight="1" s="140">
      <c r="B6" s="227" t="inlineStr">
        <is>
          <t>RBV6</t>
        </is>
      </c>
      <c r="C6" s="228" t="n"/>
      <c r="D6" s="229" t="inlineStr">
        <is>
          <t>RBOB Gasoline Oct26</t>
        </is>
      </c>
      <c r="E6" s="230" t="inlineStr">
        <is>
          <t>42,000 gal</t>
        </is>
      </c>
      <c r="H6" s="231" t="n"/>
      <c r="I6" s="231" t="n"/>
      <c r="J6" s="231" t="n"/>
      <c r="K6" s="231" t="n"/>
      <c r="L6" s="231" t="n"/>
      <c r="M6" s="231" t="n"/>
    </row>
    <row r="7" ht="15" customHeight="1" s="140">
      <c r="B7" s="227" t="inlineStr">
        <is>
          <t>HOV6</t>
        </is>
      </c>
      <c r="C7" s="228" t="n"/>
      <c r="D7" s="229" t="inlineStr">
        <is>
          <t>NY Harbor ULSD Oct26</t>
        </is>
      </c>
      <c r="E7" s="230" t="inlineStr">
        <is>
          <t>42,000 gal</t>
        </is>
      </c>
      <c r="H7" s="231" t="n"/>
      <c r="I7" s="231" t="n"/>
      <c r="J7" s="231" t="n"/>
      <c r="K7" s="231" t="n"/>
      <c r="L7" s="231" t="n"/>
      <c r="M7" s="231" t="n"/>
    </row>
    <row r="8" ht="15" customHeight="1" s="140">
      <c r="B8" s="227" t="inlineStr">
        <is>
          <t>CLV6</t>
        </is>
      </c>
      <c r="C8" s="228" t="n"/>
      <c r="D8" s="229" t="inlineStr">
        <is>
          <t>WTI Crude Oct26</t>
        </is>
      </c>
      <c r="E8" s="230" t="inlineStr">
        <is>
          <t>1,000 bbl</t>
        </is>
      </c>
      <c r="H8" s="231" t="n"/>
      <c r="I8" s="231" t="n"/>
      <c r="J8" s="231" t="n"/>
      <c r="K8" s="231" t="n"/>
      <c r="L8" s="231" t="n"/>
      <c r="M8" s="231" t="n"/>
    </row>
    <row r="9" ht="15" customHeight="1" s="140">
      <c r="B9" s="227" t="inlineStr">
        <is>
          <t>BZV6</t>
        </is>
      </c>
      <c r="C9" s="228" t="n"/>
      <c r="D9" s="229" t="inlineStr">
        <is>
          <t>Brent Last Day Fin Oct26</t>
        </is>
      </c>
      <c r="E9" s="230" t="inlineStr">
        <is>
          <t>1,000 bbl</t>
        </is>
      </c>
      <c r="H9" s="231" t="n"/>
      <c r="I9" s="231" t="n"/>
      <c r="J9" s="231" t="n"/>
      <c r="K9" s="231" t="n"/>
      <c r="L9" s="231" t="n"/>
      <c r="M9" s="231" t="n"/>
    </row>
    <row r="10"/>
    <row r="11" ht="15" customHeight="1" s="140">
      <c r="B11" s="225" t="inlineStr">
        <is>
          <t>DERIVED &amp; LISTED SPREADS</t>
        </is>
      </c>
    </row>
    <row r="12" ht="15" customHeight="1" s="140">
      <c r="B12" s="226" t="inlineStr">
        <is>
          <t>Spread</t>
        </is>
      </c>
      <c r="C12" s="226" t="inlineStr">
        <is>
          <t>Basis</t>
        </is>
      </c>
      <c r="D12" s="226" t="inlineStr">
        <is>
          <t>Crossing convention</t>
        </is>
      </c>
      <c r="H12" s="226" t="inlineStr">
        <is>
          <t>Bid</t>
        </is>
      </c>
      <c r="I12" s="226" t="inlineStr">
        <is>
          <t>Ask</t>
        </is>
      </c>
      <c r="L12" s="226" t="inlineStr">
        <is>
          <t>Mid</t>
        </is>
      </c>
      <c r="M12" s="226" t="inlineStr">
        <is>
          <t>Gap</t>
        </is>
      </c>
    </row>
    <row r="13" ht="15" customHeight="1" s="140">
      <c r="B13" s="227" t="inlineStr">
        <is>
          <t>BZ - CL</t>
        </is>
      </c>
      <c r="C13" s="230" t="inlineStr">
        <is>
          <t>legged</t>
        </is>
      </c>
      <c r="D13" s="232" t="inlineStr">
        <is>
          <t>bid = BZ bid - CL ask ; ask = BZ ask - CL bid</t>
        </is>
      </c>
      <c r="H13" s="231" t="n"/>
      <c r="I13" s="231" t="n"/>
      <c r="L13" s="231" t="n"/>
      <c r="M13" s="231" t="n"/>
    </row>
    <row r="14" ht="15" customHeight="1" s="140">
      <c r="B14" s="227" t="inlineStr">
        <is>
          <t>HO/CL crack</t>
        </is>
      </c>
      <c r="C14" s="230" t="inlineStr">
        <is>
          <t>legged</t>
        </is>
      </c>
      <c r="D14" s="232" t="inlineStr">
        <is>
          <t>bid = HO bid x42 - CL ask ; ask = HO ask x42 - CL bid</t>
        </is>
      </c>
      <c r="H14" s="231" t="n"/>
      <c r="I14" s="231" t="n"/>
      <c r="L14" s="231" t="n"/>
      <c r="M14" s="231" t="n"/>
    </row>
    <row r="15" ht="15" customHeight="1" s="140">
      <c r="B15" s="227" t="inlineStr">
        <is>
          <t>3:2:1 crack</t>
        </is>
      </c>
      <c r="C15" s="230" t="inlineStr">
        <is>
          <t>legged</t>
        </is>
      </c>
      <c r="D15" s="232" t="inlineStr">
        <is>
          <t>bid sells products at the bid and buys crude at the ask; ask mirrors it</t>
        </is>
      </c>
      <c r="H15" s="231" t="n"/>
      <c r="I15" s="231" t="n"/>
      <c r="L15" s="231" t="n"/>
      <c r="M15" s="231" t="n"/>
    </row>
    <row r="16" ht="15" customHeight="1" s="140">
      <c r="B16" s="227" t="inlineStr">
        <is>
          <t>CL Oct26 - BZ Oct26 Inter-Product</t>
        </is>
      </c>
      <c r="C16" s="230" t="inlineStr">
        <is>
          <t>listed</t>
        </is>
      </c>
      <c r="D16" s="232" t="inlineStr">
        <is>
          <t>exchange-listed - one quote, no leg risk</t>
        </is>
      </c>
      <c r="H16" s="231" t="n"/>
      <c r="I16" s="231" t="n"/>
      <c r="L16" s="231" t="n"/>
      <c r="M16" s="231" t="n"/>
    </row>
    <row r="17" ht="15" customHeight="1" s="140">
      <c r="B17" s="227" t="inlineStr">
        <is>
          <t>Oct26 HO-CL Crack</t>
        </is>
      </c>
      <c r="C17" s="230" t="inlineStr">
        <is>
          <t>listed</t>
        </is>
      </c>
      <c r="D17" s="232" t="inlineStr">
        <is>
          <t>exchange-listed - one quote, no leg risk</t>
        </is>
      </c>
      <c r="H17" s="231" t="n"/>
      <c r="I17" s="231" t="n"/>
      <c r="L17" s="231" t="n"/>
      <c r="M17" s="231" t="n"/>
    </row>
    <row r="18"/>
    <row r="19" ht="15" customHeight="1" s="140">
      <c r="B19" s="225" t="inlineStr">
        <is>
          <t>PER-SPREAD BREAKDOWN</t>
        </is>
      </c>
    </row>
    <row r="20" ht="15" customHeight="1" s="140">
      <c r="B20" s="226" t="inlineStr">
        <is>
          <t>Metric</t>
        </is>
      </c>
      <c r="C20" s="226" t="inlineStr">
        <is>
          <t>Unit / note</t>
        </is>
      </c>
      <c r="D20" s="226" t="inlineStr">
        <is>
          <t>SPREAD 1</t>
        </is>
      </c>
      <c r="E20" s="226" t="inlineStr">
        <is>
          <t>SPREAD 2</t>
        </is>
      </c>
      <c r="F20" s="226" t="inlineStr">
        <is>
          <t>SPREAD 3</t>
        </is>
      </c>
      <c r="G20" s="226" t="inlineStr">
        <is>
          <t>SPREAD 4</t>
        </is>
      </c>
    </row>
    <row r="21" ht="15" customHeight="1" s="140">
      <c r="B21" s="233" t="inlineStr">
        <is>
          <t>Spread</t>
        </is>
      </c>
      <c r="C21" s="232" t="n"/>
      <c r="D21" s="234" t="n"/>
      <c r="E21" s="234" t="n"/>
      <c r="F21" s="234" t="n"/>
      <c r="G21" s="234" t="n"/>
    </row>
    <row r="22" ht="15" customHeight="1" s="140">
      <c r="B22" s="233" t="inlineStr">
        <is>
          <t>Definition</t>
        </is>
      </c>
      <c r="C22" s="232" t="inlineStr">
        <is>
          <t>LegB - beta x LegA</t>
        </is>
      </c>
      <c r="D22" s="234" t="n"/>
      <c r="E22" s="234" t="n"/>
      <c r="F22" s="234" t="n"/>
      <c r="G22" s="234" t="n"/>
    </row>
    <row r="23" ht="15" customHeight="1" s="140">
      <c r="B23" s="233" t="inlineStr">
        <is>
          <t>Mode</t>
        </is>
      </c>
      <c r="C23" s="232" t="n"/>
      <c r="D23" s="234" t="n"/>
      <c r="E23" s="234" t="n"/>
      <c r="F23" s="234" t="n"/>
      <c r="G23" s="234" t="n"/>
    </row>
    <row r="24" ht="15" customHeight="1" s="140">
      <c r="B24" s="233" t="inlineStr">
        <is>
          <t>HEDGE_RATIO (beta)</t>
        </is>
      </c>
      <c r="C24" s="232" t="inlineStr">
        <is>
          <t>stamped pair -&gt;</t>
        </is>
      </c>
      <c r="D24" s="234" t="n"/>
      <c r="E24" s="234" t="n"/>
      <c r="F24" s="234" t="n"/>
      <c r="G24" s="234" t="n"/>
    </row>
    <row r="25" ht="15" customHeight="1" s="140">
      <c r="B25" s="233" t="inlineStr">
        <is>
          <t>USD per 1.00 of spread</t>
        </is>
      </c>
      <c r="C25" s="232" t="inlineStr">
        <is>
          <t>per lot</t>
        </is>
      </c>
      <c r="D25" s="235" t="n"/>
      <c r="E25" s="235" t="n"/>
      <c r="F25" s="235" t="n"/>
      <c r="G25" s="235" t="n"/>
    </row>
    <row r="26" ht="15" customHeight="1" s="140">
      <c r="B26" s="236" t="inlineStr">
        <is>
          <t>MARKET  (touch, shown separately from the statistic)</t>
        </is>
      </c>
      <c r="C26" s="237" t="n"/>
      <c r="D26" s="237" t="n"/>
      <c r="E26" s="237" t="n"/>
      <c r="F26" s="237" t="n"/>
      <c r="G26" s="237" t="n"/>
    </row>
    <row r="27" ht="15" customHeight="1" s="140">
      <c r="B27" s="233" t="inlineStr">
        <is>
          <t>Spread bid</t>
        </is>
      </c>
      <c r="C27" s="232" t="n"/>
      <c r="D27" s="231" t="n"/>
      <c r="E27" s="231" t="n"/>
      <c r="F27" s="231" t="n"/>
      <c r="G27" s="231" t="n"/>
    </row>
    <row r="28" ht="15" customHeight="1" s="140">
      <c r="B28" s="233" t="inlineStr">
        <is>
          <t>Spread ask</t>
        </is>
      </c>
      <c r="C28" s="232" t="n"/>
      <c r="D28" s="231" t="n"/>
      <c r="E28" s="231" t="n"/>
      <c r="F28" s="231" t="n"/>
      <c r="G28" s="231" t="n"/>
    </row>
    <row r="29" ht="15" customHeight="1" s="140">
      <c r="B29" s="233" t="inlineStr">
        <is>
          <t>Spread mid   &lt;- feeds the statistic</t>
        </is>
      </c>
      <c r="C29" s="232" t="n"/>
      <c r="D29" s="231" t="n"/>
      <c r="E29" s="231" t="n"/>
      <c r="F29" s="231" t="n"/>
      <c r="G29" s="231" t="n"/>
    </row>
    <row r="30" ht="15" customHeight="1" s="140">
      <c r="B30" s="233" t="inlineStr">
        <is>
          <t>Bid-Ask Gap</t>
        </is>
      </c>
      <c r="C30" s="232" t="inlineStr">
        <is>
          <t>spread units</t>
        </is>
      </c>
      <c r="D30" s="231" t="n"/>
      <c r="E30" s="231" t="n"/>
      <c r="F30" s="231" t="n"/>
      <c r="G30" s="231" t="n"/>
    </row>
    <row r="31" ht="15" customHeight="1" s="140">
      <c r="B31" s="236" t="inlineStr">
        <is>
          <t>WINDOW</t>
        </is>
      </c>
      <c r="C31" s="237" t="n"/>
      <c r="D31" s="237" t="n"/>
      <c r="E31" s="237" t="n"/>
      <c r="F31" s="237" t="n"/>
      <c r="G31" s="237" t="n"/>
    </row>
    <row r="32" ht="15" customHeight="1" s="140">
      <c r="B32" s="233" t="inlineStr">
        <is>
          <t>Stored samples in window</t>
        </is>
      </c>
      <c r="C32" s="232" t="inlineStr">
        <is>
          <t>after dedupe + store gate</t>
        </is>
      </c>
      <c r="D32" s="235" t="n"/>
      <c r="E32" s="235" t="n"/>
      <c r="F32" s="235" t="n"/>
      <c r="G32" s="235" t="n"/>
    </row>
    <row r="33" ht="15" customHeight="1" s="140">
      <c r="B33" s="233" t="inlineStr">
        <is>
          <t>Window elapsed</t>
        </is>
      </c>
      <c r="C33" s="232" t="inlineStr">
        <is>
          <t>min</t>
        </is>
      </c>
      <c r="D33" s="238" t="n"/>
      <c r="E33" s="238" t="n"/>
      <c r="F33" s="238" t="n"/>
      <c r="G33" s="238" t="n"/>
    </row>
    <row r="34" ht="15" customHeight="1" s="140">
      <c r="B34" s="233" t="inlineStr">
        <is>
          <t>Warm-up gate</t>
        </is>
      </c>
      <c r="C34" s="232" t="inlineStr">
        <is>
          <t>binding gate</t>
        </is>
      </c>
      <c r="D34" s="234" t="n"/>
      <c r="E34" s="234" t="n"/>
      <c r="F34" s="234" t="n"/>
      <c r="G34" s="234" t="n"/>
    </row>
    <row r="35" ht="15" customHeight="1" s="140">
      <c r="B35" s="233" t="inlineStr">
        <is>
          <t>Feed rate</t>
        </is>
      </c>
      <c r="C35" s="232" t="inlineStr">
        <is>
          <t>quote CHANGES / min</t>
        </is>
      </c>
      <c r="D35" s="239" t="n"/>
      <c r="E35" s="239" t="n"/>
      <c r="F35" s="239" t="n"/>
      <c r="G35" s="239" t="n"/>
    </row>
    <row r="36" ht="15" customHeight="1" s="140">
      <c r="B36" s="233" t="inlineStr">
        <is>
          <t>Feed status</t>
        </is>
      </c>
      <c r="C36" s="232" t="n"/>
      <c r="D36" s="234" t="n"/>
      <c r="E36" s="234" t="n"/>
      <c r="F36" s="234" t="n"/>
      <c r="G36" s="234" t="n"/>
    </row>
    <row r="37" ht="15" customHeight="1" s="140">
      <c r="B37" s="236" t="inlineStr">
        <is>
          <t>STATISTICS  (FROZEN - republished every STATS_REFRESH_MIN)</t>
        </is>
      </c>
      <c r="C37" s="237" t="n"/>
      <c r="D37" s="237" t="n"/>
      <c r="E37" s="237" t="n"/>
      <c r="F37" s="237" t="n"/>
      <c r="G37" s="237" t="n"/>
    </row>
    <row r="38" ht="15" customHeight="1" s="140">
      <c r="B38" s="233" t="inlineStr">
        <is>
          <t>Mean (frozen)</t>
        </is>
      </c>
      <c r="C38" s="232" t="n"/>
      <c r="D38" s="231" t="n"/>
      <c r="E38" s="231" t="n"/>
      <c r="F38" s="231" t="n"/>
      <c r="G38" s="231" t="n"/>
    </row>
    <row r="39" ht="15" customHeight="1" s="140">
      <c r="B39" s="233" t="inlineStr">
        <is>
          <t>Std Dev (frozen)</t>
        </is>
      </c>
      <c r="C39" s="232" t="n"/>
      <c r="D39" s="231" t="n"/>
      <c r="E39" s="231" t="n"/>
      <c r="F39" s="231" t="n"/>
      <c r="G39" s="231" t="n"/>
    </row>
    <row r="40" ht="15" customHeight="1" s="140">
      <c r="B40" s="233" t="inlineStr">
        <is>
          <t>Std Dev in dollars</t>
        </is>
      </c>
      <c r="C40" s="232" t="inlineStr">
        <is>
          <t>sigma x USD/pt x LOTS</t>
        </is>
      </c>
      <c r="D40" s="240" t="n"/>
      <c r="E40" s="240" t="n"/>
      <c r="F40" s="240" t="n"/>
      <c r="G40" s="240" t="n"/>
    </row>
    <row r="41" ht="15" customHeight="1" s="140">
      <c r="B41" s="233" t="inlineStr">
        <is>
          <t>Stats age / next refresh</t>
        </is>
      </c>
      <c r="C41" s="232" t="inlineStr">
        <is>
          <t>min</t>
        </is>
      </c>
      <c r="D41" s="234" t="n"/>
      <c r="E41" s="234" t="n"/>
      <c r="F41" s="234" t="n"/>
      <c r="G41" s="234" t="n"/>
    </row>
    <row r="42" ht="15" customHeight="1" s="140">
      <c r="B42" s="241" t="inlineStr">
        <is>
          <t>Z  (live, vs frozen mean &amp; sigma)</t>
        </is>
      </c>
      <c r="C42" s="232" t="n"/>
      <c r="D42" s="242" t="n"/>
      <c r="E42" s="242" t="n"/>
      <c r="F42" s="242" t="n"/>
      <c r="G42" s="242" t="n"/>
    </row>
    <row r="43" ht="15" customHeight="1" s="140">
      <c r="B43" s="241" t="inlineStr">
        <is>
          <t>SIGNAL</t>
        </is>
      </c>
      <c r="C43" s="232" t="n"/>
      <c r="D43" s="243" t="n"/>
      <c r="E43" s="243" t="n"/>
      <c r="F43" s="243" t="n"/>
      <c r="G43" s="243" t="n"/>
    </row>
    <row r="44" ht="15" customHeight="1" s="140">
      <c r="B44" s="236" t="inlineStr">
        <is>
          <t>COST OF THE ROUND TRIP</t>
        </is>
      </c>
      <c r="C44" s="237" t="n"/>
      <c r="D44" s="237" t="n"/>
      <c r="E44" s="237" t="n"/>
      <c r="F44" s="237" t="n"/>
      <c r="G44" s="237" t="n"/>
    </row>
    <row r="45" ht="15" customHeight="1" s="140">
      <c r="B45" s="233" t="inlineStr">
        <is>
          <t>Direction</t>
        </is>
      </c>
      <c r="C45" s="232" t="n"/>
      <c r="D45" s="234" t="n"/>
      <c r="E45" s="234" t="n"/>
      <c r="F45" s="234" t="n"/>
      <c r="G45" s="234" t="n"/>
    </row>
    <row r="46" ht="15" customHeight="1" s="140">
      <c r="B46" s="233" t="inlineStr">
        <is>
          <t>Entry reference (touch)</t>
        </is>
      </c>
      <c r="C46" s="232" t="n"/>
      <c r="D46" s="231" t="n"/>
      <c r="E46" s="231" t="n"/>
      <c r="F46" s="231" t="n"/>
      <c r="G46" s="231" t="n"/>
    </row>
    <row r="47" ht="15" customHeight="1" s="140">
      <c r="B47" s="233" t="inlineStr">
        <is>
          <t>Commission</t>
        </is>
      </c>
      <c r="C47" s="232" t="inlineStr">
        <is>
          <t>contracts x rate x LOTS</t>
        </is>
      </c>
      <c r="D47" s="240" t="n"/>
      <c r="E47" s="240" t="n"/>
      <c r="F47" s="240" t="n"/>
      <c r="G47" s="240" t="n"/>
    </row>
    <row r="48" ht="15" customHeight="1" s="140">
      <c r="B48" s="233" t="inlineStr">
        <is>
          <t>Crossing cost - LEGGING</t>
        </is>
      </c>
      <c r="C48" s="232" t="n"/>
      <c r="D48" s="240" t="n"/>
      <c r="E48" s="240" t="n"/>
      <c r="F48" s="240" t="n"/>
      <c r="G48" s="240" t="n"/>
    </row>
    <row r="49" ht="15" customHeight="1" s="140">
      <c r="B49" s="233" t="inlineStr">
        <is>
          <t>Crossing cost - LISTED</t>
        </is>
      </c>
      <c r="C49" s="232" t="n"/>
      <c r="D49" s="240" t="n"/>
      <c r="E49" s="240" t="n"/>
      <c r="F49" s="240" t="n"/>
      <c r="G49" s="240" t="n"/>
    </row>
    <row r="50" ht="15" customHeight="1" s="140">
      <c r="B50" s="241" t="inlineStr">
        <is>
          <t>TOTAL COST (this mode)</t>
        </is>
      </c>
      <c r="C50" s="232" t="n"/>
      <c r="D50" s="244" t="n"/>
      <c r="E50" s="244" t="n"/>
      <c r="F50" s="244" t="n"/>
      <c r="G50" s="244" t="n"/>
    </row>
    <row r="51" ht="15" customHeight="1" s="140">
      <c r="B51" s="236" t="inlineStr">
        <is>
          <t>TAKE PROFIT  (exits act on MONEY, never on z)</t>
        </is>
      </c>
      <c r="C51" s="237" t="n"/>
      <c r="D51" s="237" t="n"/>
      <c r="E51" s="237" t="n"/>
      <c r="F51" s="237" t="n"/>
      <c r="G51" s="237" t="n"/>
    </row>
    <row r="52" ht="15" customHeight="1" s="140">
      <c r="B52" s="233" t="inlineStr">
        <is>
          <t>TP rule in force</t>
        </is>
      </c>
      <c r="C52" s="232" t="n"/>
      <c r="D52" s="234" t="n"/>
      <c r="E52" s="234" t="n"/>
      <c r="F52" s="234" t="n"/>
      <c r="G52" s="234" t="n"/>
    </row>
    <row r="53" ht="15" customHeight="1" s="140">
      <c r="B53" s="233" t="inlineStr">
        <is>
          <t>Notional (per NOTIONAL_BASIS)</t>
        </is>
      </c>
      <c r="C53" s="232" t="n"/>
      <c r="D53" s="240" t="n"/>
      <c r="E53" s="240" t="n"/>
      <c r="F53" s="240" t="n"/>
      <c r="G53" s="240" t="n"/>
    </row>
    <row r="54" ht="15" customHeight="1" s="140">
      <c r="B54" s="233" t="inlineStr">
        <is>
          <t>Win target (WIN_PCT x notional)</t>
        </is>
      </c>
      <c r="C54" s="232" t="n"/>
      <c r="D54" s="240" t="n"/>
      <c r="E54" s="240" t="n"/>
      <c r="F54" s="240" t="n"/>
      <c r="G54" s="240" t="n"/>
    </row>
    <row r="55" ht="15" customHeight="1" s="140">
      <c r="B55" s="233" t="inlineStr">
        <is>
          <t>Costs in spread units</t>
        </is>
      </c>
      <c r="C55" s="232" t="n"/>
      <c r="D55" s="231" t="n"/>
      <c r="E55" s="231" t="n"/>
      <c r="F55" s="231" t="n"/>
      <c r="G55" s="231" t="n"/>
    </row>
    <row r="56" ht="15" customHeight="1" s="140">
      <c r="B56" s="233" t="inlineStr">
        <is>
          <t>Win in spread units</t>
        </is>
      </c>
      <c r="C56" s="232" t="n"/>
      <c r="D56" s="231" t="n"/>
      <c r="E56" s="231" t="n"/>
      <c r="F56" s="231" t="n"/>
      <c r="G56" s="231" t="n"/>
    </row>
    <row r="57" ht="15" customHeight="1" s="140">
      <c r="B57" s="233" t="inlineStr">
        <is>
          <t>Break-even spread</t>
        </is>
      </c>
      <c r="C57" s="232" t="inlineStr">
        <is>
          <t>absolute level</t>
        </is>
      </c>
      <c r="D57" s="231" t="n"/>
      <c r="E57" s="231" t="n"/>
      <c r="F57" s="231" t="n"/>
      <c r="G57" s="231" t="n"/>
    </row>
    <row r="58" ht="15" customHeight="1" s="140">
      <c r="B58" s="241" t="inlineStr">
        <is>
          <t>TAKE-PROFIT spread</t>
        </is>
      </c>
      <c r="C58" s="232" t="inlineStr">
        <is>
          <t>absolute level</t>
        </is>
      </c>
      <c r="D58" s="245" t="n"/>
      <c r="E58" s="245" t="n"/>
      <c r="F58" s="245" t="n"/>
      <c r="G58" s="245" t="n"/>
    </row>
    <row r="59" ht="15" customHeight="1" s="140">
      <c r="B59" s="233" t="inlineStr">
        <is>
          <t>TP distance</t>
        </is>
      </c>
      <c r="C59" s="232" t="inlineStr">
        <is>
          <t>spread units</t>
        </is>
      </c>
      <c r="D59" s="231" t="n"/>
      <c r="E59" s="231" t="n"/>
      <c r="F59" s="231" t="n"/>
      <c r="G59" s="231" t="n"/>
    </row>
    <row r="60" ht="15" customHeight="1" s="140">
      <c r="B60" s="233" t="inlineStr">
        <is>
          <t>TP in sigma</t>
        </is>
      </c>
      <c r="C60" s="232" t="inlineStr">
        <is>
          <t>x sigma</t>
        </is>
      </c>
      <c r="D60" s="238" t="n"/>
      <c r="E60" s="238" t="n"/>
      <c r="F60" s="238" t="n"/>
      <c r="G60" s="238" t="n"/>
    </row>
    <row r="61" ht="15" customHeight="1" s="140">
      <c r="B61" s="233" t="inlineStr">
        <is>
          <t>Target z</t>
        </is>
      </c>
      <c r="C61" s="232" t="inlineStr">
        <is>
          <t>z at the TP level</t>
        </is>
      </c>
      <c r="D61" s="238" t="n"/>
      <c r="E61" s="238" t="n"/>
      <c r="F61" s="238" t="n"/>
      <c r="G61" s="238" t="n"/>
    </row>
    <row r="62" ht="15" customHeight="1" s="140">
      <c r="B62" s="233" t="inlineStr">
        <is>
          <t>TP beyond the mean?</t>
        </is>
      </c>
      <c r="C62" s="232" t="n"/>
      <c r="D62" s="234" t="n"/>
      <c r="E62" s="234" t="n"/>
      <c r="F62" s="234" t="n"/>
      <c r="G62" s="234" t="n"/>
    </row>
    <row r="63" ht="15" customHeight="1" s="140">
      <c r="B63" s="236" t="inlineStr">
        <is>
          <t>EDGE FILTER  (a separate gate from ENTRY_Z)</t>
        </is>
      </c>
      <c r="C63" s="237" t="n"/>
      <c r="D63" s="237" t="n"/>
      <c r="E63" s="237" t="n"/>
      <c r="F63" s="237" t="n"/>
      <c r="G63" s="237" t="n"/>
    </row>
    <row r="64" ht="15" customHeight="1" s="140">
      <c r="B64" s="233" t="inlineStr">
        <is>
          <t>Expected capture</t>
        </is>
      </c>
      <c r="C64" s="232" t="inlineStr">
        <is>
          <t>0.5 x |z| x sigma x USD/pt x LOTS</t>
        </is>
      </c>
      <c r="D64" s="240" t="n"/>
      <c r="E64" s="240" t="n"/>
      <c r="F64" s="240" t="n"/>
      <c r="G64" s="240" t="n"/>
    </row>
    <row r="65" ht="15" customHeight="1" s="140">
      <c r="B65" s="233" t="inlineStr">
        <is>
          <t>Required</t>
        </is>
      </c>
      <c r="C65" s="232" t="inlineStr">
        <is>
          <t>EDGE_MULTIPLE x total cost</t>
        </is>
      </c>
      <c r="D65" s="240" t="n"/>
      <c r="E65" s="240" t="n"/>
      <c r="F65" s="240" t="n"/>
      <c r="G65" s="240" t="n"/>
    </row>
    <row r="66" ht="15" customHeight="1" s="140">
      <c r="B66" s="241" t="inlineStr">
        <is>
          <t>EDGE VERDICT</t>
        </is>
      </c>
      <c r="C66" s="232" t="n"/>
      <c r="D66" s="243" t="n"/>
      <c r="E66" s="243" t="n"/>
      <c r="F66" s="243" t="n"/>
      <c r="G66" s="243" t="n"/>
    </row>
    <row r="67" ht="15" customHeight="1" s="140">
      <c r="B67" s="233" t="inlineStr">
        <is>
          <t>Min sigma to pass at live z</t>
        </is>
      </c>
      <c r="C67" s="232" t="inlineStr">
        <is>
          <t>spread units</t>
        </is>
      </c>
      <c r="D67" s="231" t="n"/>
      <c r="E67" s="231" t="n"/>
      <c r="F67" s="231" t="n"/>
      <c r="G67" s="231" t="n"/>
    </row>
    <row r="68"/>
    <row r="69" ht="15" customHeight="1" s="140">
      <c r="B69" s="246" t="inlineStr">
        <is>
          <t>The EDGE FILTER is a different gate from ENTRY_Z. ENTRY_Z decides when the chime fires; the edge filter asks whether the expected capture clears the round trip by EDGE_MULTIPLE. A highlighted z that fails the edge filter is still not a trade worth taking.</t>
        </is>
      </c>
    </row>
    <row r="70" ht="15" customHeight="1" s="140">
      <c r="B70" s="224" t="inlineStr">
        <is>
          <t>ALERT_ONLY_IF_EDGE_PASSES on Config decides whether a failing edge filter also silences the chime. It ships FALSE, so the chime follows ENTRY_Z alone.</t>
        </is>
      </c>
    </row>
  </sheetData>
  <conditionalFormatting sqref="D42:G43">
    <cfRule type="expression" rank="0" priority="2" equalAverage="0" aboveAverage="0" dxfId="4" text="" percent="0" bottom="0">
      <formula>OR(D$43="NO USABLE Z",D$43="STALE FEED")</formula>
    </cfRule>
    <cfRule type="expression" rank="0" priority="3" equalAverage="0" aboveAverage="0" dxfId="5" text="" percent="0" bottom="0">
      <formula>D$43="WARMING UP"</formula>
    </cfRule>
    <cfRule type="expression" rank="0" priority="4" equalAverage="0" aboveAverage="0" dxfId="6" text="" percent="0" bottom="0">
      <formula>D$43="ABOVE CEILING"</formula>
    </cfRule>
    <cfRule type="expression" rank="0" priority="5" equalAverage="0" aboveAverage="0" dxfId="7" text="" percent="0" bottom="0">
      <formula>D$43="ENTRY BAND"</formula>
    </cfRule>
  </conditionalFormatting>
  <conditionalFormatting sqref="D66:G66">
    <cfRule type="expression" rank="0" priority="6" equalAverage="0" aboveAverage="0" dxfId="7" text="" percent="0" bottom="0">
      <formula>D66="PASS"</formula>
    </cfRule>
    <cfRule type="expression" rank="0" priority="7" equalAverage="0" aboveAverage="0" dxfId="6" text="" percent="0" bottom="0">
      <formula>D66="FAIL"</formula>
    </cfRule>
  </conditionalFormatting>
  <conditionalFormatting sqref="D36:G36">
    <cfRule type="expression" rank="0" priority="8" equalAverage="0" aboveAverage="0" dxfId="4" text="" percent="0" bottom="0">
      <formula>D36="STALE"</formula>
    </cfRule>
    <cfRule type="expression" rank="0" priority="9" equalAverage="0" aboveAverage="0" dxfId="6" text="" percent="0" bottom="0">
      <formula>D36="THIN"</formula>
    </cfRule>
    <cfRule type="expression" rank="0" priority="10" equalAverage="0" aboveAverage="0" dxfId="7" text="" percent="0" bottom="0">
      <formula>D36="OK"</formula>
    </cfRule>
  </conditionalFormatting>
  <conditionalFormatting sqref="D34:G34">
    <cfRule type="expression" rank="0" priority="11" equalAverage="0" aboveAverage="0" dxfId="5" text="" percent="0" bottom="0">
      <formula>D34&lt;&gt;"ready"</formula>
    </cfRule>
  </conditionalFormatting>
  <conditionalFormatting sqref="D62:G62">
    <cfRule type="expression" rank="0" priority="12" equalAverage="0" aboveAverage="0" dxfId="6" text="" percent="0" bottom="0">
      <formula>LEFT(D62,3)="YES"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K1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138" min="1" max="1"/>
    <col width="34" customWidth="1" style="138" min="2" max="2"/>
    <col width="14" customWidth="1" style="138" min="3" max="3"/>
    <col width="10" customWidth="1" style="138" min="4" max="4"/>
    <col width="96" customWidth="1" style="138" min="5" max="5"/>
    <col width="30" customWidth="1" style="138" min="6" max="6"/>
    <col width="12" customWidth="1" style="138" min="7" max="8"/>
    <col width="10" customWidth="1" style="138" min="9" max="9"/>
    <col width="8" customWidth="1" style="138" min="10" max="10"/>
    <col width="34" customWidth="1" style="138" min="11" max="11"/>
  </cols>
  <sheetData>
    <row r="1" ht="19.7" customHeight="1" s="140">
      <c r="A1" s="247" t="inlineStr">
        <is>
          <t>CONFIG  -  every parameter in its own labelled cell</t>
        </is>
      </c>
    </row>
    <row r="2" ht="15" customHeight="1" s="140">
      <c r="A2" s="248" t="inlineStr">
        <is>
          <t>LEGEND:  yellow / blue = EDIT THESE.  black = formula, do not edit.  A changed value takes effect on the NEXT TIMER TICK - no restart, no VBA edit.</t>
        </is>
      </c>
    </row>
    <row r="3" ht="15" customHeight="1" s="140">
      <c r="A3" s="224" t="inlineStr">
        <is>
          <t>Exception: LOOKBACK_MIN redefines the window, so stored history is re-evaluated against the new width on the next stats refresh and the warm-up gates re-apply.</t>
        </is>
      </c>
    </row>
    <row r="4" ht="15" customHeight="1" s="140">
      <c r="A4" s="224" t="inlineStr">
        <is>
          <t>VBA finds a parameter by matching column A exactly, so you may insert or reorder rows freely - but never rename a parameter in column A.</t>
        </is>
      </c>
    </row>
    <row r="5" ht="15" customHeight="1" s="140">
      <c r="A5" s="248" t="inlineStr">
        <is>
          <t>FOUR DECOUPLED RATES:  CAPTURE_MS (poll for a changed quote)  &gt;  STORE_MIN_INTERVAL_MS (what reaches the window)  &gt;  PRICE_REFRESH_MS (what repaints)  &gt;  STATS_REFRESH_MIN (when mean and sigma are republished).  Capturing fast buys alert latency, not a better sigma.</t>
        </is>
      </c>
    </row>
    <row r="6"/>
    <row r="7" ht="15" customHeight="1" s="140">
      <c r="A7" s="249" t="inlineStr">
        <is>
          <t>ENGINE  /  SAMPLING</t>
        </is>
      </c>
      <c r="B7" s="249" t="n"/>
      <c r="C7" s="249" t="n"/>
      <c r="D7" s="249" t="n"/>
      <c r="E7" s="249" t="n"/>
    </row>
    <row r="8" ht="15" customHeight="1" s="140">
      <c r="A8" s="250" t="inlineStr">
        <is>
          <t>Parameter</t>
        </is>
      </c>
      <c r="B8" s="250" t="inlineStr">
        <is>
          <t>Value</t>
        </is>
      </c>
      <c r="C8" s="250" t="inlineStr">
        <is>
          <t>Default</t>
        </is>
      </c>
      <c r="D8" s="250" t="inlineStr">
        <is>
          <t>Units</t>
        </is>
      </c>
      <c r="E8" s="250" t="inlineStr">
        <is>
          <t>Meaning</t>
        </is>
      </c>
    </row>
    <row r="9" ht="15" customHeight="1" s="140">
      <c r="A9" s="241" t="inlineStr">
        <is>
          <t>CAPTURE_MS</t>
        </is>
      </c>
      <c r="B9" s="251" t="n">
        <v>100</v>
      </c>
      <c r="C9" s="230" t="n">
        <v>100</v>
      </c>
      <c r="D9" s="230" t="inlineStr">
        <is>
          <t>ms</t>
        </is>
      </c>
      <c r="E9" s="252" t="inlineStr">
        <is>
          <t>RATE 1 of 4. How often the feed is POLLED for a changed quote. Drives latency to the chime, NOT sigma - after dedupe the window holds quote changes, not poll ticks. Sub-second needs the user32 timer; at 1000+ the module falls back to Application.OnTime.</t>
        </is>
      </c>
    </row>
    <row r="10" ht="15" customHeight="1" s="140">
      <c r="A10" s="241" t="inlineStr">
        <is>
          <t>STORE_MIN_INTERVAL_MS</t>
        </is>
      </c>
      <c r="B10" s="251" t="n">
        <v>0</v>
      </c>
      <c r="C10" s="230" t="n">
        <v>0</v>
      </c>
      <c r="D10" s="230" t="inlineStr">
        <is>
          <t>ms</t>
        </is>
      </c>
      <c r="E10" s="252" t="inlineStr">
        <is>
          <t>RATE 2 of 4. Minimum spacing between STORED samples. 0 = full fidelity. Leave it at 0 for the first week or two to characterise the microstructure, then set 250-1000: subsampling a mean-reverting level series is unbiased, so it is 3-10x less memory for the same mean and sigma.</t>
        </is>
      </c>
    </row>
    <row r="11" ht="15" customHeight="1" s="140">
      <c r="A11" s="241" t="inlineStr">
        <is>
          <t>PRICE_REFRESH_MS</t>
        </is>
      </c>
      <c r="B11" s="251" t="n">
        <v>500</v>
      </c>
      <c r="C11" s="230" t="n">
        <v>500</v>
      </c>
      <c r="D11" s="230" t="inlineStr">
        <is>
          <t>ms</t>
        </is>
      </c>
      <c r="E11" s="252" t="inlineStr">
        <is>
          <t>RATE 3 of 4. How often the display may repaint. Independent of capture and of storage - a number showing more digits than the market moves in will appear to change constantly.</t>
        </is>
      </c>
    </row>
    <row r="12" ht="15" customHeight="1" s="140">
      <c r="A12" s="241" t="inlineStr">
        <is>
          <t>CONFIG_REFRESH_MS</t>
        </is>
      </c>
      <c r="B12" s="251" t="n">
        <v>1000</v>
      </c>
      <c r="C12" s="230" t="n">
        <v>1000</v>
      </c>
      <c r="D12" s="230" t="inlineStr">
        <is>
          <t>ms</t>
        </is>
      </c>
      <c r="E12" s="252" t="inlineStr">
        <is>
          <t>How often this sheet is re-read. A value changed here takes effect within this long - no restart, no VBA edit.</t>
        </is>
      </c>
    </row>
    <row r="13" ht="15" customHeight="1" s="140">
      <c r="A13" s="241" t="inlineStr">
        <is>
          <t>RTD_THROTTLE_MS</t>
        </is>
      </c>
      <c r="B13" s="251" t="n">
        <v>100</v>
      </c>
      <c r="C13" s="230" t="n">
        <v>100</v>
      </c>
      <c r="D13" s="230" t="inlineStr">
        <is>
          <t>ms</t>
        </is>
      </c>
      <c r="E13" s="252" t="inlineStr">
        <is>
          <t>Application.RTD.ThrottleInterval set on start. Match it to CAPTURE_MS. Excel's default is 2000.</t>
        </is>
      </c>
    </row>
    <row r="14" ht="15" customHeight="1" s="140">
      <c r="A14" s="241" t="inlineStr">
        <is>
          <t>WATCHDOG_SEC</t>
        </is>
      </c>
      <c r="B14" s="251" t="n">
        <v>5</v>
      </c>
      <c r="C14" s="230" t="n">
        <v>5</v>
      </c>
      <c r="D14" s="230" t="inlineStr">
        <is>
          <t>s</t>
        </is>
      </c>
      <c r="E14" s="252" t="inlineStr">
        <is>
          <t>Application.OnTime watchdog. Re-arms the high-resolution timer if Excel killed it (a modal dialog will) and picks up a changed CAPTURE_MS.</t>
        </is>
      </c>
    </row>
    <row r="15" ht="15" customHeight="1" s="140">
      <c r="A15" s="241" t="inlineStr">
        <is>
          <t>STALE_SEC</t>
        </is>
      </c>
      <c r="B15" s="251" t="n">
        <v>15</v>
      </c>
      <c r="C15" s="230" t="n">
        <v>15</v>
      </c>
      <c r="D15" s="230" t="inlineStr">
        <is>
          <t>s</t>
        </is>
      </c>
      <c r="E15" s="252" t="inlineStr">
        <is>
          <t>No new quote id for this long =&gt; feed marked STALE and alerts go silent.</t>
        </is>
      </c>
    </row>
    <row r="16" ht="15" customHeight="1" s="140">
      <c r="A16" s="241" t="inlineStr">
        <is>
          <t>FLUSH_SEC</t>
        </is>
      </c>
      <c r="B16" s="251" t="n">
        <v>60</v>
      </c>
      <c r="C16" s="230" t="n">
        <v>60</v>
      </c>
      <c r="D16" s="230" t="inlineStr">
        <is>
          <t>s</t>
        </is>
      </c>
      <c r="E16" s="252" t="inlineStr">
        <is>
          <t>How often the recovery snapshot is written to the hidden Buffer sheet.</t>
        </is>
      </c>
    </row>
    <row r="17" ht="15" customHeight="1" s="140">
      <c r="A17" s="241" t="inlineStr">
        <is>
          <t>FLUSH_DECIMATE_MS</t>
        </is>
      </c>
      <c r="B17" s="251" t="n">
        <v>1000</v>
      </c>
      <c r="C17" s="230" t="n">
        <v>1000</v>
      </c>
      <c r="D17" s="230" t="inlineStr">
        <is>
          <t>ms</t>
        </is>
      </c>
      <c r="E17" s="252" t="inlineStr">
        <is>
          <t>The recovery snapshot is decimated to this spacing. Unbiased for mean and sigma, and it keeps a 120-minute window near 7,200 rows instead of tens of thousands.</t>
        </is>
      </c>
    </row>
    <row r="18" ht="15" customHeight="1" s="140">
      <c r="A18" s="241" t="inlineStr">
        <is>
          <t>BUFFER_CAPACITY</t>
        </is>
      </c>
      <c r="B18" s="251" t="n">
        <v>80000</v>
      </c>
      <c r="C18" s="230" t="n">
        <v>80000</v>
      </c>
      <c r="D18" s="230" t="inlineStr">
        <is>
          <t>samples</t>
        </is>
      </c>
      <c r="E18" s="252" t="inlineStr">
        <is>
          <t>Circular-buffer capacity per spread. 4 spreads x 80,000 x 16 bytes is about 5 MB of VBA array, held in memory, not in cells.</t>
        </is>
      </c>
    </row>
    <row r="19" ht="15" customHeight="1" s="140">
      <c r="A19" s="241" t="inlineStr">
        <is>
          <t>TICK_ARCHIVE_ENABLED</t>
        </is>
      </c>
      <c r="B19" s="251" t="b">
        <v>1</v>
      </c>
      <c r="C19" s="230" t="b">
        <v>1</v>
      </c>
      <c r="D19" s="230" t="inlineStr">
        <is>
          <t>bool</t>
        </is>
      </c>
      <c r="E19" s="252" t="inlineStr">
        <is>
          <t>Write every CHANGED quote to a CSV on disk. This is the one chance to characterise the spread's microstructure and to verify that coarser storage loses nothing real. Turn it off once STORE_MIN_INTERVAL_MS is set.</t>
        </is>
      </c>
    </row>
    <row r="20" ht="15" customHeight="1" s="140">
      <c r="A20" s="241" t="inlineStr">
        <is>
          <t>TICK_ARCHIVE_PATH</t>
        </is>
      </c>
      <c r="B20" s="253" t="n"/>
      <c r="C20" s="230" t="n"/>
      <c r="D20" s="230" t="inlineStr">
        <is>
          <t>folder</t>
        </is>
      </c>
      <c r="E20" s="252" t="inlineStr">
        <is>
          <t>Folder for the tick CSVs. Blank = a 'ticks' folder beside the workbook. One file per spread per day.</t>
        </is>
      </c>
    </row>
    <row r="21" ht="15" customHeight="1" s="140">
      <c r="A21" s="241" t="inlineStr">
        <is>
          <t>TICK_ARCHIVE_BATCH</t>
        </is>
      </c>
      <c r="B21" s="251" t="n">
        <v>500</v>
      </c>
      <c r="C21" s="230" t="n">
        <v>500</v>
      </c>
      <c r="D21" s="230" t="inlineStr">
        <is>
          <t>lines</t>
        </is>
      </c>
      <c r="E21" s="252" t="inlineStr">
        <is>
          <t>Lines buffered in memory before a file write, so archiving never stalls the capture timer.</t>
        </is>
      </c>
    </row>
    <row r="22"/>
    <row r="23" ht="15" customHeight="1" s="140">
      <c r="A23" s="249" t="inlineStr">
        <is>
          <t>WINDOW  /  STATISTICS</t>
        </is>
      </c>
      <c r="B23" s="249" t="n"/>
      <c r="C23" s="249" t="n"/>
      <c r="D23" s="249" t="n"/>
      <c r="E23" s="249" t="n"/>
    </row>
    <row r="24" ht="15" customHeight="1" s="140">
      <c r="A24" s="250" t="inlineStr">
        <is>
          <t>Parameter</t>
        </is>
      </c>
      <c r="B24" s="250" t="inlineStr">
        <is>
          <t>Value</t>
        </is>
      </c>
      <c r="C24" s="250" t="inlineStr">
        <is>
          <t>Default</t>
        </is>
      </c>
      <c r="D24" s="250" t="inlineStr">
        <is>
          <t>Units</t>
        </is>
      </c>
      <c r="E24" s="250" t="inlineStr">
        <is>
          <t>Meaning</t>
        </is>
      </c>
    </row>
    <row r="25" ht="15" customHeight="1" s="140">
      <c r="A25" s="241" t="inlineStr">
        <is>
          <t>LOOKBACK_MIN</t>
        </is>
      </c>
      <c r="B25" s="251" t="n">
        <v>120</v>
      </c>
      <c r="C25" s="230" t="n">
        <v>120</v>
      </c>
      <c r="D25" s="230" t="inlineStr">
        <is>
          <t>min</t>
        </is>
      </c>
      <c r="E25" s="252" t="inlineStr">
        <is>
          <t>Rolling window width (90 or 120). Changing it re-evaluates stored history on the next stats refresh and re-applies the warm-up gates.</t>
        </is>
      </c>
    </row>
    <row r="26" ht="15" customHeight="1" s="140">
      <c r="A26" s="241" t="inlineStr">
        <is>
          <t>STATS_REFRESH_MIN</t>
        </is>
      </c>
      <c r="B26" s="251" t="n">
        <v>5</v>
      </c>
      <c r="C26" s="230" t="n">
        <v>5</v>
      </c>
      <c r="D26" s="230" t="inlineStr">
        <is>
          <t>min</t>
        </is>
      </c>
      <c r="E26" s="252" t="inlineStr">
        <is>
          <t>How often mean/sigma are recomputed and re-published. Held FROZEN in between; live z is measured against the frozen values.</t>
        </is>
      </c>
    </row>
    <row r="27" ht="15" customHeight="1" s="140">
      <c r="A27" s="241" t="inlineStr">
        <is>
          <t>MIN_SAMPLES</t>
        </is>
      </c>
      <c r="B27" s="251" t="n">
        <v>300</v>
      </c>
      <c r="C27" s="230" t="n">
        <v>300</v>
      </c>
      <c r="D27" s="230" t="inlineStr">
        <is>
          <t>quotes</t>
        </is>
      </c>
      <c r="E27" s="252" t="inlineStr">
        <is>
          <t>Warm-up gate 1. Quotes needed before any z is shown.</t>
        </is>
      </c>
    </row>
    <row r="28" ht="15" customHeight="1" s="140">
      <c r="A28" s="241" t="inlineStr">
        <is>
          <t>MIN_HISTORY_MIN</t>
        </is>
      </c>
      <c r="B28" s="251" t="n">
        <v>120</v>
      </c>
      <c r="C28" s="230" t="n">
        <v>120</v>
      </c>
      <c r="D28" s="230" t="inlineStr">
        <is>
          <t>min</t>
        </is>
      </c>
      <c r="E28" s="252" t="inlineStr">
        <is>
          <t>Warm-up gate 2. Window span needed before any z is shown. BOTH gates must pass. MUST BE LESS THAN LOOKBACK_MIN: eviction drops samples older than the lookback, so the span approaches it but never reaches it, and a value at or above LOOKBACK_MIN would never be satisfied. Anything above 98% of LOOKBACK_MIN is clamped to that, and the clamp is noted once in the Log.</t>
        </is>
      </c>
    </row>
    <row r="29" ht="15" customHeight="1" s="140">
      <c r="A29" s="241" t="inlineStr">
        <is>
          <t>MIN_SIGMA</t>
        </is>
      </c>
      <c r="B29" s="251" t="n">
        <v>0</v>
      </c>
      <c r="C29" s="230" t="n">
        <v>0</v>
      </c>
      <c r="D29" s="230" t="inlineStr">
        <is>
          <t>spread</t>
        </is>
      </c>
      <c r="E29" s="252" t="inlineStr">
        <is>
          <t>Sigma floor. Below this the window is degenerate and NO z is shown. Set once sigma has actually been measured.</t>
        </is>
      </c>
    </row>
    <row r="30" ht="15" customHeight="1" s="140">
      <c r="A30" s="241" t="inlineStr">
        <is>
          <t>MAX_ABS_Z</t>
        </is>
      </c>
      <c r="B30" s="251" t="n">
        <v>25</v>
      </c>
      <c r="C30" s="230" t="n">
        <v>25</v>
      </c>
      <c r="D30" s="230" t="inlineStr">
        <is>
          <t>z</t>
        </is>
      </c>
      <c r="E30" s="252" t="inlineStr">
        <is>
          <t>Absurd-z guard. Above this, show 'no usable z' rather than a number.</t>
        </is>
      </c>
    </row>
    <row r="31"/>
    <row r="32" ht="15" customHeight="1" s="140">
      <c r="A32" s="249" t="inlineStr">
        <is>
          <t>SIGNAL THRESHOLDS</t>
        </is>
      </c>
      <c r="B32" s="249" t="n"/>
      <c r="C32" s="249" t="n"/>
      <c r="D32" s="249" t="n"/>
      <c r="E32" s="249" t="n"/>
    </row>
    <row r="33" ht="15" customHeight="1" s="140">
      <c r="A33" s="250" t="inlineStr">
        <is>
          <t>Parameter</t>
        </is>
      </c>
      <c r="B33" s="250" t="inlineStr">
        <is>
          <t>Value</t>
        </is>
      </c>
      <c r="C33" s="250" t="inlineStr">
        <is>
          <t>Default</t>
        </is>
      </c>
      <c r="D33" s="250" t="inlineStr">
        <is>
          <t>Units</t>
        </is>
      </c>
      <c r="E33" s="250" t="inlineStr">
        <is>
          <t>Meaning</t>
        </is>
      </c>
    </row>
    <row r="34" ht="15" customHeight="1" s="140">
      <c r="A34" s="241" t="inlineStr">
        <is>
          <t>ENTRY_Z</t>
        </is>
      </c>
      <c r="B34" s="254" t="n">
        <v>2.5</v>
      </c>
      <c r="C34" s="255" t="n">
        <v>2.5</v>
      </c>
      <c r="D34" s="230" t="inlineStr">
        <is>
          <t>z</t>
        </is>
      </c>
      <c r="E34" s="252" t="inlineStr">
        <is>
          <t>Highlight and chime at or above this |z|. 2.0 and 2.5 are both reasonable; 2.0 fires more often and needs a larger sigma to stay worth trading.</t>
        </is>
      </c>
    </row>
    <row r="35" ht="15" customHeight="1" s="140">
      <c r="A35" s="241" t="inlineStr">
        <is>
          <t>MAX_ENTRY_Z</t>
        </is>
      </c>
      <c r="B35" s="254" t="n">
        <v>4.5</v>
      </c>
      <c r="C35" s="255" t="n">
        <v>4.5</v>
      </c>
      <c r="D35" s="230" t="inlineStr">
        <is>
          <t>z</t>
        </is>
      </c>
      <c r="E35" s="252" t="inlineStr">
        <is>
          <t>Entry CEILING. At or above this, do NOT highlight - that is a momentum spike, not a reversion setup. Keep the band at least 1 sigma wide.</t>
        </is>
      </c>
    </row>
    <row r="36" ht="15" customHeight="1" s="140">
      <c r="A36" s="241" t="inlineStr">
        <is>
          <t>THIN_FEED_QPM</t>
        </is>
      </c>
      <c r="B36" s="251" t="n">
        <v>6</v>
      </c>
      <c r="C36" s="230" t="n">
        <v>6</v>
      </c>
      <c r="D36" s="230" t="inlineStr">
        <is>
          <t>q/min</t>
        </is>
      </c>
      <c r="E36" s="252" t="inlineStr">
        <is>
          <t>Feed rate at or below which the quotes/min display turns amber.</t>
        </is>
      </c>
    </row>
    <row r="37" ht="15" customHeight="1" s="140">
      <c r="A37" s="241" t="inlineStr">
        <is>
          <t>SPREAD_QUOTE_CONVENTION</t>
        </is>
      </c>
      <c r="B37" s="253" t="inlineStr">
        <is>
          <t>CROSSING</t>
        </is>
      </c>
      <c r="C37" s="230" t="inlineStr">
        <is>
          <t>CROSSING</t>
        </is>
      </c>
      <c r="D37" s="230" t="inlineStr">
        <is>
          <t>text</t>
        </is>
      </c>
      <c r="E37" s="252" t="inlineStr">
        <is>
          <t>How the spread rows on Dashboard quote Bid and Ask. CROSSING: sell LegB at the bid and buy LegA at the ask, mirrored for the ask - the Gap is then the true cost of crossing and is always positive. SAME_SIDE: bid-minus-bid and ask-minus-ask, as the original sheet's rows 9 computed. Under SAME_SIDE the Gap is a DIFFERENCE of gaps, which understates the crossing cost and can go negative.</t>
        </is>
      </c>
    </row>
    <row r="38"/>
    <row r="39" ht="15" customHeight="1" s="140">
      <c r="A39" s="249" t="inlineStr">
        <is>
          <t>SIZING  /  COSTS</t>
        </is>
      </c>
      <c r="B39" s="249" t="n"/>
      <c r="C39" s="249" t="n"/>
      <c r="D39" s="249" t="n"/>
      <c r="E39" s="249" t="n"/>
    </row>
    <row r="40" ht="15" customHeight="1" s="140">
      <c r="A40" s="250" t="inlineStr">
        <is>
          <t>Parameter</t>
        </is>
      </c>
      <c r="B40" s="250" t="inlineStr">
        <is>
          <t>Value</t>
        </is>
      </c>
      <c r="C40" s="250" t="inlineStr">
        <is>
          <t>Default</t>
        </is>
      </c>
      <c r="D40" s="250" t="inlineStr">
        <is>
          <t>Units</t>
        </is>
      </c>
      <c r="E40" s="250" t="inlineStr">
        <is>
          <t>Meaning</t>
        </is>
      </c>
    </row>
    <row r="41" ht="15" customHeight="1" s="140">
      <c r="A41" s="241" t="inlineStr">
        <is>
          <t>LOTS</t>
        </is>
      </c>
      <c r="B41" s="251" t="n">
        <v>1</v>
      </c>
      <c r="C41" s="230" t="n">
        <v>1</v>
      </c>
      <c r="D41" s="230" t="inlineStr">
        <is>
          <t>lots</t>
        </is>
      </c>
      <c r="E41" s="252" t="inlineStr">
        <is>
          <t>Contracts per leg, for the cost and take-profit maths.</t>
        </is>
      </c>
    </row>
    <row r="42" ht="15" customHeight="1" s="140">
      <c r="A42" s="241" t="inlineStr">
        <is>
          <t>TP_MODE</t>
        </is>
      </c>
      <c r="B42" s="253" t="inlineStr">
        <is>
          <t>PCT_NOTIONAL</t>
        </is>
      </c>
      <c r="C42" s="230" t="inlineStr">
        <is>
          <t>PCT_NOTIONAL</t>
        </is>
      </c>
      <c r="D42" s="230" t="inlineStr">
        <is>
          <t>text</t>
        </is>
      </c>
      <c r="E42" s="252" t="inlineStr">
        <is>
          <t>PCT_NOTIONAL: Take Profit = Entry + Costs + (WIN_PCT x Notional). TARGET_USD: the older rule, Take Profit = Entry + Costs + TARGET_NET_USD.</t>
        </is>
      </c>
    </row>
    <row r="43" ht="15" customHeight="1" s="140">
      <c r="A43" s="241" t="inlineStr">
        <is>
          <t>WIN_PCT</t>
        </is>
      </c>
      <c r="B43" s="254" t="n">
        <v>0.01</v>
      </c>
      <c r="C43" s="255" t="n">
        <v>0.01</v>
      </c>
      <c r="D43" s="230" t="inlineStr">
        <is>
          <t>fraction</t>
        </is>
      </c>
      <c r="E43" s="252" t="inlineStr">
        <is>
          <t>Percentage win, as a FRACTION - 0.01 is 1%, 0.02 is 2%. Used only when TP_MODE = PCT_NOTIONAL.</t>
        </is>
      </c>
    </row>
    <row r="44" ht="15" customHeight="1" s="140">
      <c r="A44" s="241" t="inlineStr">
        <is>
          <t>NOTIONAL_BASIS</t>
        </is>
      </c>
      <c r="B44" s="253" t="inlineStr">
        <is>
          <t>SPREAD_VALUE</t>
        </is>
      </c>
      <c r="C44" s="230" t="inlineStr">
        <is>
          <t>SPREAD_VALUE</t>
        </is>
      </c>
      <c r="D44" s="230" t="inlineStr">
        <is>
          <t>text</t>
        </is>
      </c>
      <c r="E44" s="252" t="inlineStr">
        <is>
          <t>What WIN_PCT is taken OF. SPREAD_VALUE = |spread| x USD/pt x LOTS. ONE_LEG = the crude leg's full contract value. BOTH_LEGS = both legs' contract value added. These differ by roughly 10x - read the note below the table before changing it.</t>
        </is>
      </c>
    </row>
    <row r="45" ht="15" customHeight="1" s="140">
      <c r="A45" s="241" t="inlineStr">
        <is>
          <t>TP_ENTRY_BASIS</t>
        </is>
      </c>
      <c r="B45" s="253" t="inlineStr">
        <is>
          <t>BID</t>
        </is>
      </c>
      <c r="C45" s="230" t="inlineStr">
        <is>
          <t>BID</t>
        </is>
      </c>
      <c r="D45" s="230" t="inlineStr">
        <is>
          <t>text</t>
        </is>
      </c>
      <c r="E45" s="252" t="inlineStr">
        <is>
          <t>Which price the take-profit is measured from. BID: always the bid, the price you sell at - exact for a High-to-Low trade, optimistic by the spread's own gap on a Low-to-High one. TOUCH: prices each direction at the side it really trades on (bid when selling, ask when buying).</t>
        </is>
      </c>
    </row>
    <row r="46" ht="15" customHeight="1" s="140">
      <c r="A46" s="241" t="inlineStr">
        <is>
          <t>TARGET_NET_USD</t>
        </is>
      </c>
      <c r="B46" s="251" t="n">
        <v>150</v>
      </c>
      <c r="C46" s="230" t="n">
        <v>150</v>
      </c>
      <c r="D46" s="230" t="inlineStr">
        <is>
          <t>USD</t>
        </is>
      </c>
      <c r="E46" s="252" t="inlineStr">
        <is>
          <t>Desired profit AFTER all costs. Used only when TP_MODE = TARGET_USD.</t>
        </is>
      </c>
    </row>
    <row r="47" ht="15" customHeight="1" s="140">
      <c r="A47" s="241" t="inlineStr">
        <is>
          <t>EDGE_MULTIPLE</t>
        </is>
      </c>
      <c r="B47" s="254" t="n">
        <v>1.5</v>
      </c>
      <c r="C47" s="255" t="n">
        <v>1.5</v>
      </c>
      <c r="D47" s="230" t="inlineStr">
        <is>
          <t>x</t>
        </is>
      </c>
      <c r="E47" s="252" t="inlineStr">
        <is>
          <t>Expected capture must clear the round trip by this multiple.</t>
        </is>
      </c>
    </row>
    <row r="48" ht="15" customHeight="1" s="140">
      <c r="A48" s="241" t="inlineStr">
        <is>
          <t>RATE_ORIENT_PER_SIDE</t>
        </is>
      </c>
      <c r="B48" s="254" t="n">
        <v>0.35</v>
      </c>
      <c r="C48" s="255" t="n">
        <v>0.35</v>
      </c>
      <c r="D48" s="230" t="inlineStr">
        <is>
          <t>USD</t>
        </is>
      </c>
      <c r="E48" s="252" t="inlineStr">
        <is>
          <t>Orient clearing + execution, per contract per side. Source: Orient rate card 2026-08-21, Ver.26.8.17.</t>
        </is>
      </c>
    </row>
    <row r="49" ht="15" customHeight="1" s="140">
      <c r="A49" s="241" t="inlineStr">
        <is>
          <t>RATE_FIX_PER_SIDE</t>
        </is>
      </c>
      <c r="B49" s="254" t="n">
        <v>0.06</v>
      </c>
      <c r="C49" s="255" t="n">
        <v>0.06</v>
      </c>
      <c r="D49" s="230" t="inlineStr">
        <is>
          <t>USD</t>
        </is>
      </c>
      <c r="E49" s="252" t="inlineStr">
        <is>
          <t>FIX / platform transaction fee, per contract per side. Same rate card.</t>
        </is>
      </c>
    </row>
    <row r="50" ht="15" customHeight="1" s="140">
      <c r="A50" s="241" t="inlineStr">
        <is>
          <t>RATE_CME_PER_SIDE</t>
        </is>
      </c>
      <c r="B50" s="254" t="n">
        <v>1.5</v>
      </c>
      <c r="C50" s="255" t="n">
        <v>1.5</v>
      </c>
      <c r="D50" s="230" t="inlineStr">
        <is>
          <t>USD</t>
        </is>
      </c>
      <c r="E50" s="252" t="inlineStr">
        <is>
          <t>CME exchange + clearing, per contract per side. Same rate card.</t>
        </is>
      </c>
    </row>
    <row r="51"/>
    <row r="52" ht="15" customHeight="1" s="140">
      <c r="A52" s="249" t="inlineStr">
        <is>
          <t>AUDIBLE ALERT</t>
        </is>
      </c>
      <c r="B52" s="249" t="n"/>
      <c r="C52" s="249" t="n"/>
      <c r="D52" s="249" t="n"/>
      <c r="E52" s="249" t="n"/>
    </row>
    <row r="53" ht="15" customHeight="1" s="140">
      <c r="A53" s="250" t="inlineStr">
        <is>
          <t>Parameter</t>
        </is>
      </c>
      <c r="B53" s="250" t="inlineStr">
        <is>
          <t>Value</t>
        </is>
      </c>
      <c r="C53" s="250" t="inlineStr">
        <is>
          <t>Default</t>
        </is>
      </c>
      <c r="D53" s="250" t="inlineStr">
        <is>
          <t>Units</t>
        </is>
      </c>
      <c r="E53" s="250" t="inlineStr">
        <is>
          <t>Meaning</t>
        </is>
      </c>
    </row>
    <row r="54" ht="15" customHeight="1" s="140">
      <c r="A54" s="241" t="inlineStr">
        <is>
          <t>ALERT_ENABLED</t>
        </is>
      </c>
      <c r="B54" s="251" t="b">
        <v>1</v>
      </c>
      <c r="C54" s="230" t="b">
        <v>1</v>
      </c>
      <c r="D54" s="230" t="inlineStr">
        <is>
          <t>bool</t>
        </is>
      </c>
      <c r="E54" s="252" t="inlineStr">
        <is>
          <t>MASTER MUTE. FALSE silences every sound.</t>
        </is>
      </c>
    </row>
    <row r="55" ht="15" customHeight="1" s="140">
      <c r="A55" s="241" t="inlineStr">
        <is>
          <t>ALERT_SOUND_PATH</t>
        </is>
      </c>
      <c r="B55" s="253" t="inlineStr">
        <is>
          <t>C:\Windows\Media\chimes.wav</t>
        </is>
      </c>
      <c r="C55" s="230" t="inlineStr">
        <is>
          <t>C:\Windows\Media\chimes.wav</t>
        </is>
      </c>
      <c r="D55" s="230" t="inlineStr">
        <is>
          <t>path</t>
        </is>
      </c>
      <c r="E55" s="252" t="inlineStr">
        <is>
          <t>Single short 'ting' played on an entry-band crossing.</t>
        </is>
      </c>
    </row>
    <row r="56" ht="15" customHeight="1" s="140">
      <c r="A56" s="241" t="inlineStr">
        <is>
          <t>ALERT_SOUND_PATH_CEILING</t>
        </is>
      </c>
      <c r="B56" s="253" t="inlineStr">
        <is>
          <t>C:\Windows\Media\notify.wav</t>
        </is>
      </c>
      <c r="C56" s="230" t="inlineStr">
        <is>
          <t>C:\Windows\Media\notify.wav</t>
        </is>
      </c>
      <c r="D56" s="230" t="inlineStr">
        <is>
          <t>path</t>
        </is>
      </c>
      <c r="E56" s="252" t="inlineStr">
        <is>
          <t>Distinct tone for crossing MAX_ENTRY_Z. That is 'stand down', not 'get in'.</t>
        </is>
      </c>
    </row>
    <row r="57" ht="15" customHeight="1" s="140">
      <c r="A57" s="241" t="inlineStr">
        <is>
          <t>ALERT_REARM_MARGIN</t>
        </is>
      </c>
      <c r="B57" s="254" t="n">
        <v>0.25</v>
      </c>
      <c r="C57" s="255" t="n">
        <v>0.25</v>
      </c>
      <c r="D57" s="230" t="inlineStr">
        <is>
          <t>z</t>
        </is>
      </c>
      <c r="E57" s="252" t="inlineStr">
        <is>
          <t>Hysteresis. Do not re-arm until |z| falls back below ENTRY_Z - this margin.</t>
        </is>
      </c>
    </row>
    <row r="58" ht="15" customHeight="1" s="140">
      <c r="A58" s="241" t="inlineStr">
        <is>
          <t>ALERT_COOLDOWN_SEC</t>
        </is>
      </c>
      <c r="B58" s="251" t="n">
        <v>60</v>
      </c>
      <c r="C58" s="230" t="n">
        <v>60</v>
      </c>
      <c r="D58" s="230" t="inlineStr">
        <is>
          <t>s</t>
        </is>
      </c>
      <c r="E58" s="252" t="inlineStr">
        <is>
          <t>Minimum seconds between alerts for the same spread.</t>
        </is>
      </c>
    </row>
    <row r="59" ht="15" customHeight="1" s="140">
      <c r="A59" s="241" t="inlineStr">
        <is>
          <t>ALERT_ONLY_IF_EDGE_PASSES</t>
        </is>
      </c>
      <c r="B59" s="251" t="b">
        <v>0</v>
      </c>
      <c r="C59" s="230" t="b">
        <v>0</v>
      </c>
      <c r="D59" s="230" t="inlineStr">
        <is>
          <t>bool</t>
        </is>
      </c>
      <c r="E59" s="252" t="inlineStr">
        <is>
          <t>FALSE = the chime follows ENTRY_Z alone. TRUE = also stay silent when the edge filter fails, on the argument that a sound for a trade you should not take trains you to ignore the sound. Ships FALSE by request; the edge verdict is still shown on Detail.</t>
        </is>
      </c>
    </row>
    <row r="60" ht="15" customHeight="1" s="140">
      <c r="A60" s="241" t="inlineStr">
        <is>
          <t>ALERT_SPEAK</t>
        </is>
      </c>
      <c r="B60" s="251" t="b">
        <v>0</v>
      </c>
      <c r="C60" s="230" t="b">
        <v>0</v>
      </c>
      <c r="D60" s="230" t="inlineStr">
        <is>
          <t>bool</t>
        </is>
      </c>
      <c r="E60" s="252" t="inlineStr">
        <is>
          <t>TRUE also speaks the spread name (Application.Speech). Useful when watching four at once.</t>
        </is>
      </c>
    </row>
    <row r="61"/>
    <row r="62" ht="15" customHeight="1" s="140">
      <c r="A62" s="249" t="inlineStr">
        <is>
          <t>PERSISTENCE  /  LOGGING</t>
        </is>
      </c>
      <c r="B62" s="249" t="n"/>
      <c r="C62" s="249" t="n"/>
      <c r="D62" s="249" t="n"/>
      <c r="E62" s="249" t="n"/>
    </row>
    <row r="63" ht="15" customHeight="1" s="140">
      <c r="A63" s="250" t="inlineStr">
        <is>
          <t>Parameter</t>
        </is>
      </c>
      <c r="B63" s="250" t="inlineStr">
        <is>
          <t>Value</t>
        </is>
      </c>
      <c r="C63" s="250" t="inlineStr">
        <is>
          <t>Default</t>
        </is>
      </c>
      <c r="D63" s="250" t="inlineStr">
        <is>
          <t>Units</t>
        </is>
      </c>
      <c r="E63" s="250" t="inlineStr">
        <is>
          <t>Meaning</t>
        </is>
      </c>
    </row>
    <row r="64" ht="15" customHeight="1" s="140">
      <c r="A64" s="241" t="inlineStr">
        <is>
          <t>WARM_START_ENABLED</t>
        </is>
      </c>
      <c r="B64" s="251" t="b">
        <v>1</v>
      </c>
      <c r="C64" s="230" t="b">
        <v>1</v>
      </c>
      <c r="D64" s="230" t="inlineStr">
        <is>
          <t>bool</t>
        </is>
      </c>
      <c r="E64" s="252" t="inlineStr">
        <is>
          <t>On open, reload the flushed buffer so a restart does not cost another two hours of warm-up.</t>
        </is>
      </c>
    </row>
    <row r="65" ht="15" customHeight="1" s="140">
      <c r="A65" s="241" t="inlineStr">
        <is>
          <t>WARM_START_MAX_AGE_MIN</t>
        </is>
      </c>
      <c r="B65" s="251" t="n">
        <v>180</v>
      </c>
      <c r="C65" s="230" t="n">
        <v>180</v>
      </c>
      <c r="D65" s="230" t="inlineStr">
        <is>
          <t>min</t>
        </is>
      </c>
      <c r="E65" s="252" t="inlineStr">
        <is>
          <t>Only reload if the newest saved sample is younger than this.</t>
        </is>
      </c>
    </row>
    <row r="66" ht="15" customHeight="1" s="140">
      <c r="A66" s="241" t="inlineStr">
        <is>
          <t>LOG_ENABLED</t>
        </is>
      </c>
      <c r="B66" s="251" t="b">
        <v>1</v>
      </c>
      <c r="C66" s="230" t="b">
        <v>1</v>
      </c>
      <c r="D66" s="230" t="inlineStr">
        <is>
          <t>bool</t>
        </is>
      </c>
      <c r="E66" s="252" t="inlineStr">
        <is>
          <t>Write signal events to the Log sheet.</t>
        </is>
      </c>
    </row>
    <row r="67" ht="15" customHeight="1" s="140">
      <c r="A67" s="241" t="inlineStr">
        <is>
          <t>LOG_MAX_ROWS</t>
        </is>
      </c>
      <c r="B67" s="251" t="n">
        <v>20000</v>
      </c>
      <c r="C67" s="230" t="n">
        <v>20000</v>
      </c>
      <c r="D67" s="230" t="inlineStr">
        <is>
          <t>rows</t>
        </is>
      </c>
      <c r="E67" s="252" t="inlineStr">
        <is>
          <t>Log is trimmed to this many rows.</t>
        </is>
      </c>
    </row>
    <row r="68"/>
    <row r="69" ht="15" customHeight="1" s="140">
      <c r="A69" s="249" t="inlineStr">
        <is>
          <t>DERIVED COMMISSION  (formulas - do not edit)</t>
        </is>
      </c>
      <c r="B69" s="256" t="n"/>
      <c r="C69" s="256" t="n"/>
      <c r="D69" s="256" t="n"/>
      <c r="E69" s="256" t="n"/>
    </row>
    <row r="70" ht="15" customHeight="1" s="140">
      <c r="A70" s="250" t="inlineStr">
        <is>
          <t>Parameter</t>
        </is>
      </c>
      <c r="B70" s="250" t="inlineStr">
        <is>
          <t>Value</t>
        </is>
      </c>
      <c r="C70" s="250" t="inlineStr">
        <is>
          <t>Default</t>
        </is>
      </c>
      <c r="D70" s="250" t="inlineStr">
        <is>
          <t>Units</t>
        </is>
      </c>
      <c r="E70" s="250" t="inlineStr">
        <is>
          <t>Meaning</t>
        </is>
      </c>
    </row>
    <row r="71" ht="15" customHeight="1" s="140">
      <c r="A71" s="241" t="inlineStr">
        <is>
          <t>COMMISSION_CONSERVATIVE</t>
        </is>
      </c>
      <c r="B71" s="242">
        <f>2*(B48+B49+B50)</f>
        <v/>
      </c>
      <c r="E71" s="257" t="inlineStr">
        <is>
          <t>Per lot PER LEG, round turn, reading CME's 1.50 as per SIDE. This is the conservative reading and the one to use.</t>
        </is>
      </c>
    </row>
    <row r="72" ht="15" customHeight="1" s="140">
      <c r="A72" s="241" t="inlineStr">
        <is>
          <t>COMMISSION_IF_CME_PER_RT</t>
        </is>
      </c>
      <c r="B72" s="238">
        <f>2*(B48+B49)+B50</f>
        <v/>
      </c>
      <c r="E72" s="257" t="inlineStr">
        <is>
          <t>The same figure if CME's 1.50 turns out to be per ROUND TURN rather than per side.</t>
        </is>
      </c>
    </row>
    <row r="73" ht="15" customHeight="1" s="140">
      <c r="A73" s="241" t="inlineStr">
        <is>
          <t>COMMISSION_BASIS</t>
        </is>
      </c>
      <c r="B73" s="251" t="inlineStr">
        <is>
          <t>CONSERVATIVE</t>
        </is>
      </c>
      <c r="C73" s="230" t="inlineStr">
        <is>
          <t>CONSERVATIVE</t>
        </is>
      </c>
      <c r="E73" s="257" t="inlineStr">
        <is>
          <t>CONSERVATIVE or CME_PER_RT. An understated cost model approves losing trades invisibly; an overstated one only refuses trades, visibly. Leave it on CONSERVATIVE.</t>
        </is>
      </c>
    </row>
    <row r="74" ht="15" customHeight="1" s="140">
      <c r="A74" s="241" t="inlineStr">
        <is>
          <t>COMMISSION_PER_LOT_ROUND_TURN</t>
        </is>
      </c>
      <c r="B74" s="242">
        <f>IF(B73="CME_PER_RT",B72,B71)</f>
        <v/>
      </c>
      <c r="E74" s="257" t="inlineStr">
        <is>
          <t>USD per lot per leg, round turn. This is what the cost model actually uses.</t>
        </is>
      </c>
    </row>
    <row r="75"/>
    <row r="76" ht="15" customHeight="1" s="140">
      <c r="A76" s="249" t="inlineStr">
        <is>
          <t>INSTRUMENTS   -   CONTRACT ROLL</t>
        </is>
      </c>
      <c r="B76" s="256" t="n"/>
      <c r="C76" s="256" t="n"/>
      <c r="D76" s="256" t="n"/>
      <c r="E76" s="256" t="n"/>
    </row>
    <row r="77" ht="15" customHeight="1" s="140">
      <c r="A77" s="248" t="inlineStr">
        <is>
          <t>These six cells are the ONLY place a TT short name appears. Every RTD call on the hidden Feed sheet reads them, and the Dashboard's own symbol column is written back from them, so the two can never disagree.</t>
        </is>
      </c>
    </row>
    <row r="78" ht="15" customHeight="1" s="140">
      <c r="A78" s="224" t="inlineStr">
        <is>
          <t>CME month codes:  F Jan  G Feb  H Mar  J Apr  K May  M Jun  N Jul  Q Aug  U Sep  V Oct  X Nov  Z Dec</t>
        </is>
      </c>
    </row>
    <row r="79" ht="15" customHeight="1" s="140">
      <c r="A79" s="246" t="inlineStr">
        <is>
          <t>Roll every leg of a spread together. A November Brent against an October WTI is a different instrument from the one whose mean and sigma you measured, and the window should be cleared when you change one.</t>
        </is>
      </c>
    </row>
    <row r="80" ht="15" customHeight="1" s="140">
      <c r="A80" s="246" t="inlineStr">
        <is>
          <t>CL is a leg of ALL THREE spreads. Moving it to November while RBOB and ULSD stay in October turns the cracks into a crack PLUS a calendar spread - not the thing the z-score was measuring. Roll RBOB and ULSD with it.</t>
        </is>
      </c>
    </row>
    <row r="81" ht="15" customHeight="1" s="140">
      <c r="A81" s="250" t="inlineStr">
        <is>
          <t>Slot</t>
        </is>
      </c>
      <c r="B81" s="250" t="inlineStr">
        <is>
          <t>TT short name</t>
        </is>
      </c>
      <c r="C81" s="250" t="inlineStr">
        <is>
          <t>Instrument</t>
        </is>
      </c>
      <c r="D81" s="250" t="n"/>
      <c r="E81" s="250" t="inlineStr">
        <is>
          <t>Used as</t>
        </is>
      </c>
    </row>
    <row r="82" ht="15" customHeight="1" s="140">
      <c r="A82" s="243" t="inlineStr">
        <is>
          <t>INSTRUMENT_1</t>
        </is>
      </c>
      <c r="B82" s="253" t="inlineStr">
        <is>
          <t>RBV6</t>
        </is>
      </c>
      <c r="C82" s="229" t="inlineStr">
        <is>
          <t>RBOB Gasoline</t>
        </is>
      </c>
      <c r="E82" s="258" t="inlineStr">
        <is>
          <t>leg of the 3:2:1</t>
        </is>
      </c>
    </row>
    <row r="83" ht="15" customHeight="1" s="140">
      <c r="A83" s="243" t="inlineStr">
        <is>
          <t>INSTRUMENT_2</t>
        </is>
      </c>
      <c r="B83" s="253" t="inlineStr">
        <is>
          <t>HOV6</t>
        </is>
      </c>
      <c r="C83" s="229" t="inlineStr">
        <is>
          <t>NY Harbor ULSD</t>
        </is>
      </c>
      <c r="E83" s="258" t="inlineStr">
        <is>
          <t>leg of HO/CL and the 3:2:1</t>
        </is>
      </c>
    </row>
    <row r="84" ht="15" customHeight="1" s="140">
      <c r="A84" s="243" t="inlineStr">
        <is>
          <t>INSTRUMENT_3</t>
        </is>
      </c>
      <c r="B84" s="253" t="inlineStr">
        <is>
          <t>CLX6</t>
        </is>
      </c>
      <c r="C84" s="229" t="inlineStr">
        <is>
          <t>WTI Crude</t>
        </is>
      </c>
      <c r="E84" s="258" t="inlineStr">
        <is>
          <t>leg of every spread</t>
        </is>
      </c>
    </row>
    <row r="85" ht="15" customHeight="1" s="140">
      <c r="A85" s="243" t="inlineStr">
        <is>
          <t>INSTRUMENT_4</t>
        </is>
      </c>
      <c r="B85" s="253" t="inlineStr">
        <is>
          <t>BZX6</t>
        </is>
      </c>
      <c r="C85" s="229" t="inlineStr">
        <is>
          <t>Brent Last Day Financial</t>
        </is>
      </c>
      <c r="E85" s="258" t="inlineStr">
        <is>
          <t>leg B of BZ - CL</t>
        </is>
      </c>
    </row>
    <row r="86" ht="15" customHeight="1" s="140">
      <c r="A86" s="243" t="inlineStr">
        <is>
          <t>INSTRUMENT_5</t>
        </is>
      </c>
      <c r="B86" s="253" t="inlineStr">
        <is>
          <t>CL Nov26 - BZ Nov26 Inter-Product</t>
        </is>
      </c>
      <c r="C86" s="229" t="inlineStr">
        <is>
          <t>Exchange-listed inter-product</t>
        </is>
      </c>
      <c r="E86" s="258" t="inlineStr">
        <is>
          <t>listed comparison</t>
        </is>
      </c>
    </row>
    <row r="87" ht="15" customHeight="1" s="140">
      <c r="A87" s="243" t="inlineStr">
        <is>
          <t>INSTRUMENT_6</t>
        </is>
      </c>
      <c r="B87" s="253" t="inlineStr">
        <is>
          <t>Nov26 HO-CL Crack</t>
        </is>
      </c>
      <c r="C87" s="229" t="inlineStr">
        <is>
          <t>Exchange-listed crack</t>
        </is>
      </c>
      <c r="E87" s="258" t="inlineStr">
        <is>
          <t>listed comparison</t>
        </is>
      </c>
    </row>
    <row r="88" ht="15" customHeight="1" s="140">
      <c r="A88" s="243" t="inlineStr">
        <is>
          <t>INSTRUMENT_7</t>
        </is>
      </c>
      <c r="B88" s="253" t="inlineStr">
        <is>
          <t>CL Oct26-Dec26 Calendar</t>
        </is>
      </c>
      <c r="C88" s="229" t="inlineStr">
        <is>
          <t>Exchange-listed calendar</t>
        </is>
      </c>
      <c r="E88" s="258" t="inlineStr">
        <is>
          <t>slot 4 - monitored</t>
        </is>
      </c>
    </row>
    <row r="89"/>
    <row r="90"/>
    <row r="91" ht="15" customHeight="1" s="140">
      <c r="A91" s="249" t="inlineStr">
        <is>
          <t>SPREAD_TABLE_START   -   up to 4 monitored spreads, one buffer each</t>
        </is>
      </c>
      <c r="B91" s="256" t="n"/>
      <c r="C91" s="256" t="n"/>
      <c r="D91" s="256" t="n"/>
      <c r="E91" s="256" t="n"/>
      <c r="F91" s="256" t="n"/>
      <c r="G91" s="256" t="n"/>
      <c r="H91" s="256" t="n"/>
      <c r="I91" s="256" t="n"/>
      <c r="J91" s="256" t="n"/>
      <c r="K91" s="256" t="n"/>
    </row>
    <row r="92" ht="15" customHeight="1" s="140">
      <c r="A92" s="224" t="inlineStr">
        <is>
          <t>Leg COMPOSITION (which instruments, and their weights) is defined by the labelled formulas in the MONITOR LEGS block on the hidden Feed sheet. Everything below is hot-reloaded each tick.</t>
        </is>
      </c>
    </row>
    <row r="93" ht="32.8" customHeight="1" s="140">
      <c r="A93" s="250" t="inlineStr">
        <is>
          <t>Slot</t>
        </is>
      </c>
      <c r="B93" s="250" t="inlineStr">
        <is>
          <t>Enabled</t>
        </is>
      </c>
      <c r="C93" s="250" t="inlineStr">
        <is>
          <t>Display name</t>
        </is>
      </c>
      <c r="D93" s="250" t="inlineStr">
        <is>
          <t>Mode</t>
        </is>
      </c>
      <c r="E93" s="250" t="inlineStr">
        <is>
          <t>HEDGE_RATIO (beta)</t>
        </is>
      </c>
      <c r="F93" s="250" t="inlineStr">
        <is>
          <t>Beta stamped for pair</t>
        </is>
      </c>
      <c r="G93" s="250" t="inlineStr">
        <is>
          <t>USD per 1.00 of spread, per lot</t>
        </is>
      </c>
      <c r="H93" s="250" t="inlineStr">
        <is>
          <t>Contracts charged commission</t>
        </is>
      </c>
      <c r="I93" s="250" t="inlineStr">
        <is>
          <t>Tick size</t>
        </is>
      </c>
      <c r="J93" s="250" t="inlineStr">
        <is>
          <t>Decimals</t>
        </is>
      </c>
      <c r="K93" s="250" t="inlineStr">
        <is>
          <t>Listed equivalent (cost comparison)</t>
        </is>
      </c>
    </row>
    <row r="94" ht="15" customHeight="1" s="140">
      <c r="A94" s="243" t="inlineStr">
        <is>
          <t>SPREAD_1</t>
        </is>
      </c>
      <c r="B94" s="251" t="b">
        <v>1</v>
      </c>
      <c r="C94" s="253" t="inlineStr">
        <is>
          <t>BZ - CL  (Brent LDF - WTI)</t>
        </is>
      </c>
      <c r="D94" s="251" t="inlineStr">
        <is>
          <t>LEGGED</t>
        </is>
      </c>
      <c r="E94" s="259" t="n">
        <v>1</v>
      </c>
      <c r="F94" s="253" t="inlineStr">
        <is>
          <t>BZV6 / CLV6, derived 2026-08 (RELATED pair - no fair value, empirical mean only)</t>
        </is>
      </c>
      <c r="G94" s="260" t="n">
        <v>1000</v>
      </c>
      <c r="H94" s="261" t="n">
        <v>2</v>
      </c>
      <c r="I94" s="259" t="n">
        <v>0.01</v>
      </c>
      <c r="J94" s="261" t="n">
        <v>2</v>
      </c>
      <c r="K94" s="232" t="inlineStr">
        <is>
          <t>CL Oct26 - BZ Oct26 Inter-Product</t>
        </is>
      </c>
    </row>
    <row r="95" ht="15" customHeight="1" s="140">
      <c r="A95" s="243" t="inlineStr">
        <is>
          <t>SPREAD_2</t>
        </is>
      </c>
      <c r="B95" s="251" t="b">
        <v>1</v>
      </c>
      <c r="C95" s="253" t="inlineStr">
        <is>
          <t>HO/CL crack  (ULSD - WTI)</t>
        </is>
      </c>
      <c r="D95" s="251" t="inlineStr">
        <is>
          <t>LEGGED</t>
        </is>
      </c>
      <c r="E95" s="259" t="n">
        <v>1</v>
      </c>
      <c r="F95" s="253" t="inlineStr">
        <is>
          <t>HOV6 x42 / CLV6, 1:1 by design (crack, not a fitted beta)</t>
        </is>
      </c>
      <c r="G95" s="260" t="n">
        <v>1000</v>
      </c>
      <c r="H95" s="261" t="n">
        <v>2</v>
      </c>
      <c r="I95" s="259" t="n">
        <v>0.01</v>
      </c>
      <c r="J95" s="261" t="n">
        <v>2</v>
      </c>
      <c r="K95" s="232" t="inlineStr">
        <is>
          <t>Oct26 HO-CL Crack</t>
        </is>
      </c>
    </row>
    <row r="96" ht="15" customHeight="1" s="140">
      <c r="A96" s="243" t="inlineStr">
        <is>
          <t>SPREAD_3</t>
        </is>
      </c>
      <c r="B96" s="251" t="b">
        <v>1</v>
      </c>
      <c r="C96" s="253" t="inlineStr">
        <is>
          <t>3:2:1 crack  (2RB+1HO-3CL)/3</t>
        </is>
      </c>
      <c r="D96" s="251" t="inlineStr">
        <is>
          <t>LEGGED</t>
        </is>
      </c>
      <c r="E96" s="259" t="n">
        <v>1</v>
      </c>
      <c r="F96" s="253" t="inlineStr">
        <is>
          <t>RBV6/HOV6/CLV6, structural 3:2:1 - not a fitted beta</t>
        </is>
      </c>
      <c r="G96" s="260" t="n">
        <v>3000</v>
      </c>
      <c r="H96" s="261" t="n">
        <v>6</v>
      </c>
      <c r="I96" s="259" t="n">
        <v>0.01</v>
      </c>
      <c r="J96" s="261" t="n">
        <v>2</v>
      </c>
      <c r="K96" s="232" t="inlineStr">
        <is>
          <t>(none listed)</t>
        </is>
      </c>
    </row>
    <row r="97" ht="15" customHeight="1" s="140">
      <c r="A97" s="243" t="inlineStr">
        <is>
          <t>SPREAD_4</t>
        </is>
      </c>
      <c r="B97" s="251" t="b">
        <v>1</v>
      </c>
      <c r="C97" s="253" t="inlineStr">
        <is>
          <t>CL Oct26-Dec26 Calendar</t>
        </is>
      </c>
      <c r="D97" s="251" t="inlineStr">
        <is>
          <t>LISTED</t>
        </is>
      </c>
      <c r="E97" s="259" t="n">
        <v>1</v>
      </c>
      <c r="F97" s="253" t="inlineStr">
        <is>
          <t>Single listed calendar spread - beta not applicable</t>
        </is>
      </c>
      <c r="G97" s="260" t="n">
        <v>1000</v>
      </c>
      <c r="H97" s="261" t="n">
        <v>2</v>
      </c>
      <c r="I97" s="259" t="n">
        <v>0.01</v>
      </c>
      <c r="J97" s="261" t="n">
        <v>2</v>
      </c>
      <c r="K97" s="232" t="inlineStr">
        <is>
          <t>n/a - this IS the listed spread</t>
        </is>
      </c>
    </row>
    <row r="98"/>
    <row r="99" ht="15" customHeight="1" s="140">
      <c r="A99" s="246" t="inlineStr">
        <is>
          <t>HEDGE RATIO BELONGS TO THE PAIR. If the instruments change, beta must be re-derived - a stale beta silently redefines the series. Column F stamps what each beta was computed for.</t>
        </is>
      </c>
    </row>
    <row r="100" ht="15" customHeight="1" s="140">
      <c r="A100" s="224" t="inlineStr">
        <is>
          <t>Contracts charged: BZ-CL and the listed spread are 2 contracts per lot (one per leg); the 3:2:1 crack is 6 (2 RB + 1 HO + 3 CL).</t>
        </is>
      </c>
    </row>
    <row r="101" ht="15" customHeight="1" s="140">
      <c r="A101" s="224" t="inlineStr">
        <is>
          <t>USD per 1.00 of spread: NYMEX energy contracts are 1,000 bbl, so one cent of differential is $10 per leg per lot, i.e. $1,000 per 1.00.</t>
        </is>
      </c>
    </row>
    <row r="102"/>
    <row r="103" ht="15" customHeight="1" s="140">
      <c r="A103" s="246" t="inlineStr">
        <is>
          <t>NOTIONAL_BASIS - read this before changing it:</t>
        </is>
      </c>
    </row>
    <row r="104" ht="15" customHeight="1" s="140">
      <c r="A104" s="224" t="inlineStr">
        <is>
          <t>A spread is not an outright, so 'notional' has no single meaning. At 1 lot with CL near $60 and BZ-CL near $7.20:  SPREAD_VALUE ~ $7,200, ONE_LEG ~ $60,000, BOTH_LEGS ~ $127,000.</t>
        </is>
      </c>
    </row>
    <row r="105" ht="15" customHeight="1" s="140">
      <c r="A105" s="262" t="inlineStr">
        <is>
          <t>1% of those is $72, $600 and $1,270. If sigma on this spread turns out to be ~5 cents ($50), only the first is reachable - the others need the spread to travel 12 or 25 sigma, which it will not do. Watch the TP-in-sigma cell on the Dashboard: above about 1 sigma it turns amber.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0" customWidth="1" style="138" min="1" max="1"/>
    <col width="34" customWidth="1" style="138" min="2" max="2"/>
    <col width="13" customWidth="1" style="138" min="3" max="8"/>
    <col width="60" customWidth="1" style="138" min="9" max="9"/>
  </cols>
  <sheetData>
    <row r="1" ht="16.15" customHeight="1" s="140">
      <c r="A1" s="263" t="inlineStr">
        <is>
          <t>FEED  -  hidden.  Every RTD() formula lives here.</t>
        </is>
      </c>
    </row>
    <row r="2" ht="15" customHeight="1" s="140">
      <c r="A2" s="264" t="inlineStr">
        <is>
          <t>Market</t>
        </is>
      </c>
      <c r="B2" s="265">
        <f>Dashboard!$C$4</f>
        <v/>
      </c>
    </row>
    <row r="3" ht="15" customHeight="1" s="140">
      <c r="A3" s="246" t="inlineStr">
        <is>
          <t>Never put an RTD() formula on Dashboard: a cell holding one repaints whenever the feed moves, and that cannot be prevented while the formula is in the cell.</t>
        </is>
      </c>
    </row>
    <row r="4"/>
    <row r="5" ht="15" customHeight="1" s="140">
      <c r="A5" s="266" t="inlineStr">
        <is>
          <t>INSTRUMENTS</t>
        </is>
      </c>
      <c r="B5" s="226" t="inlineStr">
        <is>
          <t>Instrument ID</t>
        </is>
      </c>
      <c r="C5" s="226" t="inlineStr">
        <is>
          <t>Bid</t>
        </is>
      </c>
      <c r="D5" s="226" t="inlineStr">
        <is>
          <t>Ask</t>
        </is>
      </c>
      <c r="E5" s="226" t="inlineStr">
        <is>
          <t>High</t>
        </is>
      </c>
      <c r="F5" s="226" t="inlineStr">
        <is>
          <t>Low</t>
        </is>
      </c>
      <c r="G5" s="226" t="inlineStr">
        <is>
          <t>Mid</t>
        </is>
      </c>
      <c r="H5" s="226" t="inlineStr">
        <is>
          <t>Width</t>
        </is>
      </c>
    </row>
    <row r="6" ht="15" customHeight="1" s="140">
      <c r="A6" s="267">
        <f>Config!$B$82</f>
        <v/>
      </c>
      <c r="B6" s="268">
        <f>RTD("tt.rtd",,"Inst",$B$2,$A6)</f>
        <v/>
      </c>
      <c r="C6" s="268">
        <f>IFERROR(IF(OR($B6="",LEFT($B6,4)="Not_"),"",VALUE(RTD("tt.rtd",,$B6,"Bid"))),"")</f>
        <v/>
      </c>
      <c r="D6" s="268">
        <f>IFERROR(IF(OR($B6="",LEFT($B6,4)="Not_"),"",VALUE(RTD("tt.rtd",,$B6,"Ask"))),"")</f>
        <v/>
      </c>
      <c r="E6" s="268">
        <f>IFERROR(IF(OR($B6="",LEFT($B6,4)="Not_"),"",VALUE(RTD("tt.rtd",,$B6,"High"))),"")</f>
        <v/>
      </c>
      <c r="F6" s="268">
        <f>IFERROR(IF(OR($B6="",LEFT($B6,4)="Not_"),"",VALUE(RTD("tt.rtd",,$B6,"Low"))),"")</f>
        <v/>
      </c>
      <c r="G6" s="268">
        <f>IF(OR($C6="",$D6=""),"",($C6+$D6)/2)</f>
        <v/>
      </c>
      <c r="H6" s="268">
        <f>IF(OR($C6="",$D6=""),"",$D6-$C6)</f>
        <v/>
      </c>
      <c r="I6" s="258" t="inlineStr">
        <is>
          <t>RBOB Gasoline Oct26</t>
        </is>
      </c>
    </row>
    <row r="7" ht="15" customHeight="1" s="140">
      <c r="A7" s="267">
        <f>Config!$B$83</f>
        <v/>
      </c>
      <c r="B7" s="268">
        <f>RTD("tt.rtd",,"Inst",$B$2,$A7)</f>
        <v/>
      </c>
      <c r="C7" s="268">
        <f>IFERROR(IF(OR($B7="",LEFT($B7,4)="Not_"),"",VALUE(RTD("tt.rtd",,$B7,"Bid"))),"")</f>
        <v/>
      </c>
      <c r="D7" s="268">
        <f>IFERROR(IF(OR($B7="",LEFT($B7,4)="Not_"),"",VALUE(RTD("tt.rtd",,$B7,"Ask"))),"")</f>
        <v/>
      </c>
      <c r="E7" s="268">
        <f>IFERROR(IF(OR($B7="",LEFT($B7,4)="Not_"),"",VALUE(RTD("tt.rtd",,$B7,"High"))),"")</f>
        <v/>
      </c>
      <c r="F7" s="268">
        <f>IFERROR(IF(OR($B7="",LEFT($B7,4)="Not_"),"",VALUE(RTD("tt.rtd",,$B7,"Low"))),"")</f>
        <v/>
      </c>
      <c r="G7" s="268">
        <f>IF(OR($C7="",$D7=""),"",($C7+$D7)/2)</f>
        <v/>
      </c>
      <c r="H7" s="268">
        <f>IF(OR($C7="",$D7=""),"",$D7-$C7)</f>
        <v/>
      </c>
      <c r="I7" s="258" t="inlineStr">
        <is>
          <t>NY Harbor ULSD Oct26</t>
        </is>
      </c>
    </row>
    <row r="8" ht="15" customHeight="1" s="140">
      <c r="A8" s="267">
        <f>Config!$B$84</f>
        <v/>
      </c>
      <c r="B8" s="268">
        <f>RTD("tt.rtd",,"Inst",$B$2,$A8)</f>
        <v/>
      </c>
      <c r="C8" s="268">
        <f>IFERROR(IF(OR($B8="",LEFT($B8,4)="Not_"),"",VALUE(RTD("tt.rtd",,$B8,"Bid"))),"")</f>
        <v/>
      </c>
      <c r="D8" s="268">
        <f>IFERROR(IF(OR($B8="",LEFT($B8,4)="Not_"),"",VALUE(RTD("tt.rtd",,$B8,"Ask"))),"")</f>
        <v/>
      </c>
      <c r="E8" s="268">
        <f>IFERROR(IF(OR($B8="",LEFT($B8,4)="Not_"),"",VALUE(RTD("tt.rtd",,$B8,"High"))),"")</f>
        <v/>
      </c>
      <c r="F8" s="268">
        <f>IFERROR(IF(OR($B8="",LEFT($B8,4)="Not_"),"",VALUE(RTD("tt.rtd",,$B8,"Low"))),"")</f>
        <v/>
      </c>
      <c r="G8" s="268">
        <f>IF(OR($C8="",$D8=""),"",($C8+$D8)/2)</f>
        <v/>
      </c>
      <c r="H8" s="268">
        <f>IF(OR($C8="",$D8=""),"",$D8-$C8)</f>
        <v/>
      </c>
      <c r="I8" s="258" t="inlineStr">
        <is>
          <t>WTI Crude Oct26</t>
        </is>
      </c>
    </row>
    <row r="9" ht="15" customHeight="1" s="140">
      <c r="A9" s="267">
        <f>Config!$B$85</f>
        <v/>
      </c>
      <c r="B9" s="268">
        <f>RTD("tt.rtd",,"Inst",$B$2,$A9)</f>
        <v/>
      </c>
      <c r="C9" s="268">
        <f>IFERROR(IF(OR($B9="",LEFT($B9,4)="Not_"),"",VALUE(RTD("tt.rtd",,$B9,"Bid"))),"")</f>
        <v/>
      </c>
      <c r="D9" s="268">
        <f>IFERROR(IF(OR($B9="",LEFT($B9,4)="Not_"),"",VALUE(RTD("tt.rtd",,$B9,"Ask"))),"")</f>
        <v/>
      </c>
      <c r="E9" s="268">
        <f>IFERROR(IF(OR($B9="",LEFT($B9,4)="Not_"),"",VALUE(RTD("tt.rtd",,$B9,"High"))),"")</f>
        <v/>
      </c>
      <c r="F9" s="268">
        <f>IFERROR(IF(OR($B9="",LEFT($B9,4)="Not_"),"",VALUE(RTD("tt.rtd",,$B9,"Low"))),"")</f>
        <v/>
      </c>
      <c r="G9" s="268">
        <f>IF(OR($C9="",$D9=""),"",($C9+$D9)/2)</f>
        <v/>
      </c>
      <c r="H9" s="268">
        <f>IF(OR($C9="",$D9=""),"",$D9-$C9)</f>
        <v/>
      </c>
      <c r="I9" s="258" t="inlineStr">
        <is>
          <t>Brent Last Day Financial Oct26</t>
        </is>
      </c>
    </row>
    <row r="10" ht="15" customHeight="1" s="140">
      <c r="A10" s="267">
        <f>Config!$B$86</f>
        <v/>
      </c>
      <c r="B10" s="268">
        <f>RTD("tt.rtd",,"Inst",$B$2,$A10)</f>
        <v/>
      </c>
      <c r="C10" s="268">
        <f>IFERROR(IF(OR($B10="",LEFT($B10,4)="Not_"),"",VALUE(RTD("tt.rtd",,$B10,"Bid"))),"")</f>
        <v/>
      </c>
      <c r="D10" s="268">
        <f>IFERROR(IF(OR($B10="",LEFT($B10,4)="Not_"),"",VALUE(RTD("tt.rtd",,$B10,"Ask"))),"")</f>
        <v/>
      </c>
      <c r="E10" s="268">
        <f>IFERROR(IF(OR($B10="",LEFT($B10,4)="Not_"),"",VALUE(RTD("tt.rtd",,$B10,"High"))),"")</f>
        <v/>
      </c>
      <c r="F10" s="268">
        <f>IFERROR(IF(OR($B10="",LEFT($B10,4)="Not_"),"",VALUE(RTD("tt.rtd",,$B10,"Low"))),"")</f>
        <v/>
      </c>
      <c r="G10" s="268">
        <f>IF(OR($C10="",$D10=""),"",($C10+$D10)/2)</f>
        <v/>
      </c>
      <c r="H10" s="268">
        <f>IF(OR($C10="",$D10=""),"",$D10-$C10)</f>
        <v/>
      </c>
      <c r="I10" s="258" t="inlineStr">
        <is>
          <t>Exchange-listed inter-product spread</t>
        </is>
      </c>
    </row>
    <row r="11" ht="15" customHeight="1" s="140">
      <c r="A11" s="267">
        <f>Config!$B$87</f>
        <v/>
      </c>
      <c r="B11" s="268">
        <f>RTD("tt.rtd",,"Inst",$B$2,$A11)</f>
        <v/>
      </c>
      <c r="C11" s="268">
        <f>IFERROR(IF(OR($B11="",LEFT($B11,4)="Not_"),"",VALUE(RTD("tt.rtd",,$B11,"Bid"))),"")</f>
        <v/>
      </c>
      <c r="D11" s="268">
        <f>IFERROR(IF(OR($B11="",LEFT($B11,4)="Not_"),"",VALUE(RTD("tt.rtd",,$B11,"Ask"))),"")</f>
        <v/>
      </c>
      <c r="E11" s="268">
        <f>IFERROR(IF(OR($B11="",LEFT($B11,4)="Not_"),"",VALUE(RTD("tt.rtd",,$B11,"High"))),"")</f>
        <v/>
      </c>
      <c r="F11" s="268">
        <f>IFERROR(IF(OR($B11="",LEFT($B11,4)="Not_"),"",VALUE(RTD("tt.rtd",,$B11,"Low"))),"")</f>
        <v/>
      </c>
      <c r="G11" s="268">
        <f>IF(OR($C11="",$D11=""),"",($C11+$D11)/2)</f>
        <v/>
      </c>
      <c r="H11" s="268">
        <f>IF(OR($C11="",$D11=""),"",$D11-$C11)</f>
        <v/>
      </c>
      <c r="I11" s="258" t="inlineStr">
        <is>
          <t>Exchange-listed crack spread</t>
        </is>
      </c>
    </row>
    <row r="12" ht="15" customHeight="1" s="140">
      <c r="A12" s="267">
        <f>Config!$B$88</f>
        <v/>
      </c>
      <c r="B12" s="268">
        <f>RTD("tt.rtd",,"Inst",$B$2,$A12)</f>
        <v/>
      </c>
      <c r="C12" s="268">
        <f>IFERROR(IF(OR($B12="",LEFT($B12,4)="Not_"),"",VALUE(RTD("tt.rtd",,$B12,"Bid"))),"")</f>
        <v/>
      </c>
      <c r="D12" s="268">
        <f>IFERROR(IF(OR($B12="",LEFT($B12,4)="Not_"),"",VALUE(RTD("tt.rtd",,$B12,"Ask"))),"")</f>
        <v/>
      </c>
      <c r="E12" s="268">
        <f>IFERROR(IF(OR($B12="",LEFT($B12,4)="Not_"),"",VALUE(RTD("tt.rtd",,$B12,"High"))),"")</f>
        <v/>
      </c>
      <c r="F12" s="268">
        <f>IFERROR(IF(OR($B12="",LEFT($B12,4)="Not_"),"",VALUE(RTD("tt.rtd",,$B12,"Low"))),"")</f>
        <v/>
      </c>
      <c r="G12" s="268">
        <f>IF(OR($C12="",$D12=""),"",($C12+$D12)/2)</f>
        <v/>
      </c>
      <c r="H12" s="268">
        <f>IF(OR($C12="",$D12=""),"",$D12-$C12)</f>
        <v/>
      </c>
      <c r="I12" s="258" t="inlineStr">
        <is>
          <t>Exchange-listed calendar spread - slot 4</t>
        </is>
      </c>
    </row>
    <row r="13"/>
    <row r="14"/>
    <row r="15" ht="15" customHeight="1" s="140">
      <c r="A15" s="266" t="inlineStr">
        <is>
          <t>DERIVED &amp; LISTED SPREADS (display)</t>
        </is>
      </c>
      <c r="B15" s="226" t="inlineStr">
        <is>
          <t>Basis</t>
        </is>
      </c>
      <c r="C15" s="226" t="inlineStr">
        <is>
          <t>Bid</t>
        </is>
      </c>
      <c r="D15" s="226" t="inlineStr">
        <is>
          <t>Ask</t>
        </is>
      </c>
      <c r="E15" s="226" t="inlineStr">
        <is>
          <t>Mid</t>
        </is>
      </c>
      <c r="F15" s="226" t="inlineStr">
        <is>
          <t>Width</t>
        </is>
      </c>
    </row>
    <row r="16" ht="15" customHeight="1" s="140">
      <c r="A16" s="227" t="inlineStr">
        <is>
          <t>BZ - CL</t>
        </is>
      </c>
      <c r="B16" s="234" t="inlineStr">
        <is>
          <t>legged</t>
        </is>
      </c>
      <c r="C16" s="268">
        <f>IF(OR($C$9="",$D$8=""),"",$C$9-$D$8)</f>
        <v/>
      </c>
      <c r="D16" s="268">
        <f>IF(OR($D$9="",$C$8=""),"",$D$9-$C$8)</f>
        <v/>
      </c>
      <c r="E16" s="268">
        <f>IF(OR($G$9="",$G$8=""),"",$G$9-$G$8)</f>
        <v/>
      </c>
      <c r="F16" s="268">
        <f>IF(OR($C16="",$D16=""),"",$D16-$C16)</f>
        <v/>
      </c>
    </row>
    <row r="17" ht="15" customHeight="1" s="140">
      <c r="A17" s="227" t="inlineStr">
        <is>
          <t>HO/CL crack</t>
        </is>
      </c>
      <c r="B17" s="234" t="inlineStr">
        <is>
          <t>legged</t>
        </is>
      </c>
      <c r="C17" s="268">
        <f>IF(OR($C$7="",$D$8=""),"",$C$7*42-$D$8)</f>
        <v/>
      </c>
      <c r="D17" s="268">
        <f>IF(OR($D$7="",$C$8=""),"",$D$7*42-$C$8)</f>
        <v/>
      </c>
      <c r="E17" s="268">
        <f>IF(OR($G$7="",$G$8=""),"",$G$7*42-$G$8)</f>
        <v/>
      </c>
      <c r="F17" s="268">
        <f>IF(OR($C17="",$D17=""),"",$D17-$C17)</f>
        <v/>
      </c>
    </row>
    <row r="18" ht="15" customHeight="1" s="140">
      <c r="A18" s="227" t="inlineStr">
        <is>
          <t>3:2:1 crack</t>
        </is>
      </c>
      <c r="B18" s="234" t="inlineStr">
        <is>
          <t>legged</t>
        </is>
      </c>
      <c r="C18" s="268">
        <f>IF(OR($C$6="",$C$7="",$D$8=""),"",(($C$6*2*42)+($C$7*1*42)-($D$8*3))/3)</f>
        <v/>
      </c>
      <c r="D18" s="268">
        <f>IF(OR($D$6="",$D$7="",$C$8=""),"",(($D$6*2*42)+($D$7*1*42)-($C$8*3))/3)</f>
        <v/>
      </c>
      <c r="E18" s="268">
        <f>IF(OR($G$6="",$G$7="",$G$8=""),"",(($G$6*2*42)+($G$7*1*42)-($G$8*3))/3)</f>
        <v/>
      </c>
      <c r="F18" s="268">
        <f>IF(OR($C18="",$D18=""),"",$D18-$C18)</f>
        <v/>
      </c>
    </row>
    <row r="19" ht="15" customHeight="1" s="140">
      <c r="A19" s="227" t="inlineStr">
        <is>
          <t>CL Oct26 - BZ Oct26 Inter-Product</t>
        </is>
      </c>
      <c r="B19" s="234" t="inlineStr">
        <is>
          <t>listed</t>
        </is>
      </c>
      <c r="C19" s="268">
        <f>$C$10</f>
        <v/>
      </c>
      <c r="D19" s="268">
        <f>$D$10</f>
        <v/>
      </c>
      <c r="E19" s="268">
        <f>$G$10</f>
        <v/>
      </c>
      <c r="F19" s="268">
        <f>IF(OR($C19="",$D19=""),"",$D19-$C19)</f>
        <v/>
      </c>
    </row>
    <row r="20" ht="15" customHeight="1" s="140">
      <c r="A20" s="227" t="inlineStr">
        <is>
          <t>Oct26 HO-CL Crack</t>
        </is>
      </c>
      <c r="B20" s="234" t="inlineStr">
        <is>
          <t>listed</t>
        </is>
      </c>
      <c r="C20" s="268">
        <f>$C$11</f>
        <v/>
      </c>
      <c r="D20" s="268">
        <f>$D$11</f>
        <v/>
      </c>
      <c r="E20" s="268">
        <f>$G$11</f>
        <v/>
      </c>
      <c r="F20" s="268">
        <f>IF(OR($C20="",$D20=""),"",$D20-$C20)</f>
        <v/>
      </c>
    </row>
    <row r="21"/>
    <row r="22"/>
    <row r="23" ht="15" customHeight="1" s="140">
      <c r="A23" s="269" t="inlineStr">
        <is>
          <t>MONITOR LEGS</t>
        </is>
      </c>
      <c r="B23" s="224" t="inlineStr">
        <is>
          <t>Edit these formulas to redefine what a monitored spread is made of. spread = LegB - HEDGE_RATIO x LegA, and nothing else - no carry, no fair-value term.</t>
        </is>
      </c>
    </row>
    <row r="24" ht="15" customHeight="1" s="140">
      <c r="A24" s="226" t="inlineStr">
        <is>
          <t>Slot</t>
        </is>
      </c>
      <c r="B24" s="226" t="inlineStr">
        <is>
          <t>Side</t>
        </is>
      </c>
      <c r="C24" s="226" t="inlineStr">
        <is>
          <t>Composition</t>
        </is>
      </c>
      <c r="D24" s="226" t="inlineStr">
        <is>
          <t>Bid</t>
        </is>
      </c>
      <c r="E24" s="226" t="inlineStr">
        <is>
          <t>Ask</t>
        </is>
      </c>
      <c r="F24" s="226" t="inlineStr">
        <is>
          <t>Mid</t>
        </is>
      </c>
    </row>
    <row r="25" ht="15" customHeight="1" s="140">
      <c r="A25" s="270" t="n">
        <v>1</v>
      </c>
      <c r="B25" s="243" t="inlineStr">
        <is>
          <t>LegA</t>
        </is>
      </c>
      <c r="C25" s="271" t="inlineStr">
        <is>
          <t>CLV6</t>
        </is>
      </c>
      <c r="D25" s="268">
        <f>$C$8</f>
        <v/>
      </c>
      <c r="E25" s="268">
        <f>$D$8</f>
        <v/>
      </c>
      <c r="F25" s="268">
        <f>$G$8</f>
        <v/>
      </c>
    </row>
    <row r="26" ht="15" customHeight="1" s="140">
      <c r="A26" s="270" t="n">
        <v>1</v>
      </c>
      <c r="B26" s="243" t="inlineStr">
        <is>
          <t>LegB</t>
        </is>
      </c>
      <c r="C26" s="271" t="inlineStr">
        <is>
          <t>BZV6</t>
        </is>
      </c>
      <c r="D26" s="268">
        <f>$C$9</f>
        <v/>
      </c>
      <c r="E26" s="268">
        <f>$D$9</f>
        <v/>
      </c>
      <c r="F26" s="268">
        <f>$G$9</f>
        <v/>
      </c>
    </row>
    <row r="27" ht="15" customHeight="1" s="140">
      <c r="A27" s="270" t="n">
        <v>2</v>
      </c>
      <c r="B27" s="243" t="inlineStr">
        <is>
          <t>LegA</t>
        </is>
      </c>
      <c r="C27" s="271" t="inlineStr">
        <is>
          <t>CLV6</t>
        </is>
      </c>
      <c r="D27" s="268">
        <f>$C$8</f>
        <v/>
      </c>
      <c r="E27" s="268">
        <f>$D$8</f>
        <v/>
      </c>
      <c r="F27" s="268">
        <f>$G$8</f>
        <v/>
      </c>
    </row>
    <row r="28" ht="15" customHeight="1" s="140">
      <c r="A28" s="270" t="n">
        <v>2</v>
      </c>
      <c r="B28" s="243" t="inlineStr">
        <is>
          <t>LegB</t>
        </is>
      </c>
      <c r="C28" s="271" t="inlineStr">
        <is>
          <t>HOV6 x 42</t>
        </is>
      </c>
      <c r="D28" s="268">
        <f>IF($C$7="","",$C$7*42)</f>
        <v/>
      </c>
      <c r="E28" s="268">
        <f>IF($D$7="","",$D$7*42)</f>
        <v/>
      </c>
      <c r="F28" s="268">
        <f>IF($G$7="","",$G$7*42)</f>
        <v/>
      </c>
    </row>
    <row r="29" ht="15" customHeight="1" s="140">
      <c r="A29" s="270" t="n">
        <v>3</v>
      </c>
      <c r="B29" s="243" t="inlineStr">
        <is>
          <t>LegA</t>
        </is>
      </c>
      <c r="C29" s="271" t="inlineStr">
        <is>
          <t>CLV6</t>
        </is>
      </c>
      <c r="D29" s="268">
        <f>$C$8</f>
        <v/>
      </c>
      <c r="E29" s="268">
        <f>$D$8</f>
        <v/>
      </c>
      <c r="F29" s="268">
        <f>$G$8</f>
        <v/>
      </c>
    </row>
    <row r="30" ht="15" customHeight="1" s="140">
      <c r="A30" s="270" t="n">
        <v>3</v>
      </c>
      <c r="B30" s="243" t="inlineStr">
        <is>
          <t>LegB</t>
        </is>
      </c>
      <c r="C30" s="271" t="inlineStr">
        <is>
          <t>(2 x RBV6 + 1 x HOV6) x 42 / 3</t>
        </is>
      </c>
      <c r="D30" s="268">
        <f>IF(OR($C$6="",$C$7=""),"",($C$6*2*42+$C$7*1*42)/3)</f>
        <v/>
      </c>
      <c r="E30" s="268">
        <f>IF(OR($D$6="",$D$7=""),"",($D$6*2*42+$D$7*1*42)/3)</f>
        <v/>
      </c>
      <c r="F30" s="268">
        <f>IF(OR($G$6="",$G$7=""),"",($G$6*2*42+$G$7*1*42)/3)</f>
        <v/>
      </c>
    </row>
    <row r="31" ht="15" customHeight="1" s="140">
      <c r="A31" s="270" t="n">
        <v>4</v>
      </c>
      <c r="B31" s="243" t="inlineStr">
        <is>
          <t>LegA</t>
        </is>
      </c>
      <c r="C31" s="271" t="inlineStr">
        <is>
          <t>(none - LISTED spread)</t>
        </is>
      </c>
      <c r="D31" s="268" t="inlineStr"/>
      <c r="E31" s="268" t="inlineStr"/>
      <c r="F31" s="268" t="inlineStr"/>
    </row>
    <row r="32" ht="15" customHeight="1" s="140">
      <c r="A32" s="270" t="n">
        <v>4</v>
      </c>
      <c r="B32" s="243" t="inlineStr">
        <is>
          <t>LegB</t>
        </is>
      </c>
      <c r="C32" s="271" t="inlineStr">
        <is>
          <t>CL Oct26-Dec26 Calendar</t>
        </is>
      </c>
      <c r="D32" s="268">
        <f>$C$12</f>
        <v/>
      </c>
      <c r="E32" s="268">
        <f>$D$12</f>
        <v/>
      </c>
      <c r="F32" s="268">
        <f>$G$12</f>
        <v/>
      </c>
    </row>
    <row r="33"/>
    <row r="34" ht="15" customHeight="1" s="140">
      <c r="A34" s="269" t="inlineStr">
        <is>
          <t>LISTED-EQUIVALENT ROW PER SLOT  (for the side-by-side crossing-cost comparison)</t>
        </is>
      </c>
    </row>
    <row r="35" ht="15" customHeight="1" s="140">
      <c r="A35" s="226" t="inlineStr">
        <is>
          <t>Slot</t>
        </is>
      </c>
      <c r="B35" s="226" t="inlineStr">
        <is>
          <t>Feed derived row</t>
        </is>
      </c>
      <c r="C35" s="226" t="inlineStr">
        <is>
          <t>Name</t>
        </is>
      </c>
    </row>
    <row r="36" ht="15" customHeight="1" s="140">
      <c r="A36" s="270" t="n">
        <v>1</v>
      </c>
      <c r="B36" s="270" t="n">
        <v>19</v>
      </c>
      <c r="C36" s="271" t="inlineStr">
        <is>
          <t>CL Oct26 - BZ Oct26 Inter-Product</t>
        </is>
      </c>
    </row>
    <row r="37" ht="15" customHeight="1" s="140">
      <c r="A37" s="270" t="n">
        <v>2</v>
      </c>
      <c r="B37" s="270" t="n">
        <v>20</v>
      </c>
      <c r="C37" s="271" t="inlineStr">
        <is>
          <t>Oct26 HO-CL Crack</t>
        </is>
      </c>
    </row>
    <row r="38" ht="15" customHeight="1" s="140">
      <c r="A38" s="270" t="n">
        <v>3</v>
      </c>
      <c r="B38" s="270" t="n"/>
      <c r="C38" s="271" t="inlineStr">
        <is>
          <t>(none)</t>
        </is>
      </c>
    </row>
    <row r="39" ht="15" customHeight="1" s="140">
      <c r="A39" s="270" t="n">
        <v>4</v>
      </c>
      <c r="B39" s="270" t="n"/>
      <c r="C39" s="271" t="inlineStr">
        <is>
          <t>(none)</t>
        </is>
      </c>
    </row>
    <row r="40"/>
    <row r="41" ht="15" customHeight="1" s="140">
      <c r="A41" s="224" t="inlineStr">
        <is>
          <t>Crossing convention used throughout:  spread bid = LegB bid - beta x LegA ask ; spread ask = LegB ask - beta x LegA bid ; spread mid = LegB mid - beta x LegA mid.</t>
        </is>
      </c>
    </row>
    <row r="42" ht="15" customHeight="1" s="140">
      <c r="A42" s="224" t="inlineStr">
        <is>
          <t>For a LISTED slot LegA is empty and is treated as zero, so the listed quote passes straight through untouched.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M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5" customWidth="1" style="138" min="1" max="2"/>
    <col width="3" customWidth="1" style="138" min="3" max="3"/>
    <col width="15" customWidth="1" style="138" min="4" max="5"/>
    <col width="3" customWidth="1" style="138" min="6" max="6"/>
    <col width="15" customWidth="1" style="138" min="7" max="8"/>
    <col width="3" customWidth="1" style="138" min="9" max="9"/>
    <col width="15" customWidth="1" style="138" min="10" max="11"/>
    <col width="26" customWidth="1" style="138" min="13" max="13"/>
    <col width="30" customWidth="1" style="138" min="14" max="14"/>
  </cols>
  <sheetData>
    <row r="1" ht="15" customHeight="1" s="140">
      <c r="A1" s="272" t="inlineStr">
        <is>
          <t>BUFFER  -  hidden.  Flushed circular buffers (crash / restart recovery).</t>
        </is>
      </c>
      <c r="M1" s="224" t="inlineStr">
        <is>
          <t>Written by VBA every FLUSH_SEC seconds, so a crash loses at most a minute.</t>
        </is>
      </c>
    </row>
    <row r="2" ht="15" customHeight="1" s="140">
      <c r="M2" s="224" t="inlineStr">
        <is>
          <t>On open, WarmStart reloads a slot only if its stamped LOOKBACK_MIN, HEDGE_RATIO and leg labels still match Config, and the newest sample is younger than WARM_START_MAX_AGE_MIN.</t>
        </is>
      </c>
    </row>
    <row r="3" ht="15" customHeight="1" s="140">
      <c r="A3" s="269" t="inlineStr">
        <is>
          <t>SLOT 1</t>
        </is>
      </c>
      <c r="D3" s="269" t="inlineStr">
        <is>
          <t>SLOT 2</t>
        </is>
      </c>
      <c r="G3" s="269" t="inlineStr">
        <is>
          <t>SLOT 3</t>
        </is>
      </c>
      <c r="J3" s="269" t="inlineStr">
        <is>
          <t>SLOT 4</t>
        </is>
      </c>
      <c r="M3" s="224" t="inlineStr">
        <is>
          <t>Elapsed collection is credited from the OLDEST recovered sample - otherwise every restart costs another two hours before a usable z.</t>
        </is>
      </c>
    </row>
    <row r="4" ht="15" customHeight="1" s="140">
      <c r="A4" s="258" t="inlineStr">
        <is>
          <t>Name</t>
        </is>
      </c>
      <c r="B4" s="268" t="n"/>
      <c r="D4" s="258" t="inlineStr">
        <is>
          <t>Name</t>
        </is>
      </c>
      <c r="E4" s="268" t="n"/>
      <c r="G4" s="258" t="inlineStr">
        <is>
          <t>Name</t>
        </is>
      </c>
      <c r="H4" s="268" t="n"/>
      <c r="J4" s="258" t="inlineStr">
        <is>
          <t>Name</t>
        </is>
      </c>
      <c r="K4" s="268" t="n"/>
      <c r="M4" s="224" t="inlineStr">
        <is>
          <t>Seeding drops CONSECUTIVE identical values only. A spread genuinely revisiting a level is a real observation, not a duplicate.</t>
        </is>
      </c>
    </row>
    <row r="5" ht="15" customHeight="1" s="140">
      <c r="A5" s="258" t="inlineStr">
        <is>
          <t>Legs</t>
        </is>
      </c>
      <c r="B5" s="268" t="n"/>
      <c r="D5" s="258" t="inlineStr">
        <is>
          <t>Legs</t>
        </is>
      </c>
      <c r="E5" s="268" t="n"/>
      <c r="G5" s="258" t="inlineStr">
        <is>
          <t>Legs</t>
        </is>
      </c>
      <c r="H5" s="268" t="n"/>
      <c r="J5" s="258" t="inlineStr">
        <is>
          <t>Legs</t>
        </is>
      </c>
      <c r="K5" s="268" t="n"/>
    </row>
    <row r="6" ht="15" customHeight="1" s="140">
      <c r="A6" s="258" t="inlineStr">
        <is>
          <t>HEDGE_RATIO</t>
        </is>
      </c>
      <c r="B6" s="268" t="n"/>
      <c r="D6" s="258" t="inlineStr">
        <is>
          <t>HEDGE_RATIO</t>
        </is>
      </c>
      <c r="E6" s="268" t="n"/>
      <c r="G6" s="258" t="inlineStr">
        <is>
          <t>HEDGE_RATIO</t>
        </is>
      </c>
      <c r="H6" s="268" t="n"/>
      <c r="J6" s="258" t="inlineStr">
        <is>
          <t>HEDGE_RATIO</t>
        </is>
      </c>
      <c r="K6" s="268" t="n"/>
    </row>
    <row r="7" ht="15" customHeight="1" s="140">
      <c r="A7" s="258" t="inlineStr">
        <is>
          <t>LOOKBACK_MIN</t>
        </is>
      </c>
      <c r="B7" s="268" t="n"/>
      <c r="D7" s="258" t="inlineStr">
        <is>
          <t>LOOKBACK_MIN</t>
        </is>
      </c>
      <c r="E7" s="268" t="n"/>
      <c r="G7" s="258" t="inlineStr">
        <is>
          <t>LOOKBACK_MIN</t>
        </is>
      </c>
      <c r="H7" s="268" t="n"/>
      <c r="J7" s="258" t="inlineStr">
        <is>
          <t>LOOKBACK_MIN</t>
        </is>
      </c>
      <c r="K7" s="268" t="n"/>
    </row>
    <row r="8" ht="15" customHeight="1" s="140">
      <c r="A8" s="258" t="inlineStr">
        <is>
          <t>Count / last flush</t>
        </is>
      </c>
      <c r="B8" s="268" t="n"/>
      <c r="D8" s="258" t="inlineStr">
        <is>
          <t>Count / last flush</t>
        </is>
      </c>
      <c r="E8" s="268" t="n"/>
      <c r="G8" s="258" t="inlineStr">
        <is>
          <t>Count / last flush</t>
        </is>
      </c>
      <c r="H8" s="268" t="n"/>
      <c r="J8" s="258" t="inlineStr">
        <is>
          <t>Count / last flush</t>
        </is>
      </c>
      <c r="K8" s="268" t="n"/>
    </row>
    <row r="9" ht="15" customHeight="1" s="140">
      <c r="A9" s="226" t="inlineStr">
        <is>
          <t>Time (serial)</t>
        </is>
      </c>
      <c r="B9" s="226" t="inlineStr">
        <is>
          <t>Spread value</t>
        </is>
      </c>
      <c r="D9" s="226" t="inlineStr">
        <is>
          <t>Time (serial)</t>
        </is>
      </c>
      <c r="E9" s="226" t="inlineStr">
        <is>
          <t>Spread value</t>
        </is>
      </c>
      <c r="G9" s="226" t="inlineStr">
        <is>
          <t>Time (serial)</t>
        </is>
      </c>
      <c r="H9" s="226" t="inlineStr">
        <is>
          <t>Spread value</t>
        </is>
      </c>
      <c r="J9" s="226" t="inlineStr">
        <is>
          <t>Time (serial)</t>
        </is>
      </c>
      <c r="K9" s="226" t="inlineStr">
        <is>
          <t>Spread value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L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20" customWidth="1" style="138" min="1" max="1"/>
    <col width="30" customWidth="1" style="138" min="2" max="2"/>
    <col width="20" customWidth="1" style="138" min="3" max="3"/>
    <col width="9" customWidth="1" style="138" min="4" max="4"/>
    <col width="12" customWidth="1" style="138" min="5" max="9"/>
    <col width="16" customWidth="1" style="138" min="10" max="10"/>
    <col width="10" customWidth="1" style="138" min="11" max="11"/>
    <col width="60" customWidth="1" style="138" min="12" max="12"/>
  </cols>
  <sheetData>
    <row r="1" ht="15" customHeight="1" s="140">
      <c r="A1" s="272" t="inlineStr">
        <is>
          <t>LOG  -  timestamped signal events</t>
        </is>
      </c>
    </row>
    <row r="2" ht="15" customHeight="1" s="140">
      <c r="A2" s="224" t="inlineStr">
        <is>
          <t>One line when a state STARTS and one when it CLEARS - never one per poll. Reviewable after the session.</t>
        </is>
      </c>
    </row>
    <row r="3" ht="15" customHeight="1" s="140">
      <c r="A3" s="226" t="inlineStr">
        <is>
          <t>Time</t>
        </is>
      </c>
      <c r="B3" s="226" t="inlineStr">
        <is>
          <t>Spread</t>
        </is>
      </c>
      <c r="C3" s="226" t="inlineStr">
        <is>
          <t>Event</t>
        </is>
      </c>
      <c r="D3" s="226" t="inlineStr">
        <is>
          <t>z</t>
        </is>
      </c>
      <c r="E3" s="226" t="inlineStr">
        <is>
          <t>Mean</t>
        </is>
      </c>
      <c r="F3" s="226" t="inlineStr">
        <is>
          <t>Sigma</t>
        </is>
      </c>
      <c r="G3" s="226" t="inlineStr">
        <is>
          <t>Spread</t>
        </is>
      </c>
      <c r="H3" s="226" t="inlineStr">
        <is>
          <t>Bid</t>
        </is>
      </c>
      <c r="I3" s="226" t="inlineStr">
        <is>
          <t>Ask</t>
        </is>
      </c>
      <c r="J3" s="226" t="inlineStr">
        <is>
          <t>Signal</t>
        </is>
      </c>
      <c r="K3" s="226" t="inlineStr">
        <is>
          <t>Edge</t>
        </is>
      </c>
      <c r="L3" s="226" t="inlineStr">
        <is>
          <t>Note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138" min="1" max="1"/>
    <col width="46" customWidth="1" style="138" min="2" max="2"/>
    <col width="16" customWidth="1" style="138" min="3" max="6"/>
    <col width="60" customWidth="1" style="138" min="7" max="7"/>
  </cols>
  <sheetData>
    <row r="1" ht="19.7" customHeight="1" s="140">
      <c r="B1" s="247" t="inlineStr">
        <is>
          <t>SETUP  -  turning this .xlsx into the working .xlsm</t>
        </is>
      </c>
    </row>
    <row r="2"/>
    <row r="3" ht="30" customHeight="1" s="140">
      <c r="B3" s="273" t="inlineStr">
        <is>
          <t>openpyxl cannot author VBA, so this file ships as an .xlsx carrying all structure and formatting, plus a .bas module to import. Six steps, once.</t>
        </is>
      </c>
    </row>
    <row r="4" ht="15" customHeight="1" s="140">
      <c r="B4" s="274" t="inlineStr">
        <is>
          <t>1.  Open TT_ZScore_Monitor.xlsx in Excel on the machine running TT and the TT RTD server.</t>
        </is>
      </c>
    </row>
    <row r="5" ht="15" customHeight="1" s="140">
      <c r="B5" s="274" t="inlineStr">
        <is>
          <t>2.  File &gt; Save As &gt; Excel Macro-Enabled Workbook (.xlsm). Keep the same folder.</t>
        </is>
      </c>
    </row>
    <row r="6" ht="15" customHeight="1" s="140">
      <c r="B6" s="274" t="inlineStr">
        <is>
          <t>3.  Alt+F11 to open the VBA editor.  File &gt; Import File...  and choose TTZMonitor.bas.</t>
        </is>
      </c>
    </row>
    <row r="7" ht="30" customHeight="1" s="140">
      <c r="B7" s="274" t="inlineStr">
        <is>
          <t>4.  In the editor, double-click ThisWorkbook, clear the pane with Ctrl+A then Delete, and paste the contents of ThisWorkbook.txt verbatim. Do NOT copy it out of TTZMonitor.bas - the copy there is inside a comment block, and pasting it with the apostrophes attached gives 'Compile error: Expected End Sub'.</t>
        </is>
      </c>
    </row>
    <row r="8" ht="30" customHeight="1" s="140">
      <c r="B8" s="274" t="inlineStr">
        <is>
          <t>5.  Back on Dashboard, insert two shapes over cells N2 and P2 (Insert &gt; Shapes &gt; Rectangle), right-click each &gt; Assign Macro &gt; StartMonitor and StopMonitor. Until you do, run them from Alt+F8.</t>
        </is>
      </c>
    </row>
    <row r="9" ht="15" customHeight="1" s="140">
      <c r="B9" s="274" t="inlineStr">
        <is>
          <t>6.  Save. Click START. The Feed sheet stays hidden; you never need to look at it.</t>
        </is>
      </c>
    </row>
    <row r="10" ht="30" customHeight="1" s="140">
      <c r="B10" s="273" t="inlineStr">
        <is>
          <t>Step 4 is NOT optional here. The capture timer is a Windows user32 timer, and one that outlives the workbook keeps firing into a module that no longer has its sheets - which crashes Excel. Workbook_BeforeClose calls StopMonitor and kills it.</t>
        </is>
      </c>
    </row>
    <row r="11"/>
    <row r="12" ht="15" customHeight="1" s="140">
      <c r="B12" s="225" t="inlineStr">
        <is>
          <t>WHAT TO CHECK ON THE FIRST RUN</t>
        </is>
      </c>
    </row>
    <row r="13" ht="25.5" customHeight="1" s="140">
      <c r="B13" s="275" t="inlineStr">
        <is>
          <t>-  Feed sheet column B (instrument ids) fills in. If it stays blank, the TT short name in Feed column A does not match TT, or the market in Dashboard!C4 is wrong.</t>
        </is>
      </c>
    </row>
    <row r="14" ht="25.5" customHeight="1" s="140">
      <c r="B14" s="275" t="inlineStr">
        <is>
          <t>-  Dashboard prices move, but the sheet does NOT flash. If it flashes, something volatile has been reintroduced - search the workbook for NOW, TODAY, OFFSET, INDIRECT, RAND.</t>
        </is>
      </c>
    </row>
    <row r="15" ht="25.5" customHeight="1" s="140">
      <c r="B15" s="275" t="inlineStr">
        <is>
          <t>-  The samples counter climbs at roughly the quotes/min rate, not at the timer rate. If it climbs at the timer rate, dedupe is not working and every z you see will be fiction.</t>
        </is>
      </c>
    </row>
    <row r="16" ht="25.5" customHeight="1" s="140">
      <c r="B16" s="275" t="inlineStr">
        <is>
          <t>-  Warm-up takes MIN_HISTORY_MIN (default 120) minutes on a cold start. That is deliberate.</t>
        </is>
      </c>
    </row>
    <row r="17" ht="25.5" customHeight="1" s="140">
      <c r="B17" s="275" t="inlineStr">
        <is>
          <t>-  A 'ticks' folder appears beside the workbook, one CSV per spread per day, holding every changed quote. That is the raw record - keep it for the first week or two.</t>
        </is>
      </c>
    </row>
    <row r="18" ht="25.5" customHeight="1" s="140">
      <c r="B18" s="275" t="inlineStr">
        <is>
          <t>-  After a week, run Alt+F8 &gt; CheckSubsamplingLoss. It compares mean and sigma over the live window at full fidelity against 250 / 500 / 1000 / 2000 / 5000 ms subsampling and writes the comparison to the Log. If sigma is materially unchanged, set STORE_MIN_INTERVAL_MS and reclaim the memory.</t>
        </is>
      </c>
    </row>
    <row r="19"/>
    <row r="20" ht="15" customHeight="1" s="140">
      <c r="B20" s="225" t="inlineStr">
        <is>
          <t>WHAT SIGMA THIS SPREAD MUST HAVE TO BE WORTH TRADING</t>
        </is>
      </c>
    </row>
    <row r="21" ht="15" customHeight="1" s="140">
      <c r="B21" s="224" t="inlineStr">
        <is>
          <t>Live off Config. Edit the two assumed market widths below; everything else follows.</t>
        </is>
      </c>
    </row>
    <row r="22" ht="15" customHeight="1" s="140">
      <c r="B22" s="257" t="inlineStr">
        <is>
          <t>Assumed width, each outright leg (spread units)</t>
        </is>
      </c>
      <c r="C22" s="259" t="n">
        <v>0.02</v>
      </c>
      <c r="E22" s="257" t="inlineStr">
        <is>
          <t>Assumed width, listed spread (spread units)</t>
        </is>
      </c>
      <c r="F22" s="259" t="n">
        <v>0.02</v>
      </c>
    </row>
    <row r="23"/>
    <row r="24" ht="22.35" customHeight="1" s="140">
      <c r="B24" s="226" t="inlineStr">
        <is>
          <t>At LOTS from Config, per leg</t>
        </is>
      </c>
      <c r="C24" s="226" t="inlineStr">
        <is>
          <t>Total cost</t>
        </is>
      </c>
      <c r="D24" s="226" t="inlineStr">
        <is>
          <t>min sigma @ z = 3.0</t>
        </is>
      </c>
      <c r="E24" s="226" t="inlineStr">
        <is>
          <t>min sigma @ z = 2.5</t>
        </is>
      </c>
      <c r="F24" s="226" t="inlineStr">
        <is>
          <t>min sigma @ live ENTRY_Z</t>
        </is>
      </c>
    </row>
    <row r="25" ht="15" customHeight="1" s="140">
      <c r="B25" s="264" t="inlineStr">
        <is>
          <t>Legging the outrights</t>
        </is>
      </c>
      <c r="C25" s="276">
        <f>2*Config!$B$74*Config!$B$41+(2*$C$22)*1000*Config!$B$41</f>
        <v/>
      </c>
      <c r="D25" s="277">
        <f>Config!$B$47*$C$25/(0.5*3*1000*Config!$B$41)</f>
        <v/>
      </c>
      <c r="E25" s="277">
        <f>Config!$B$47*$C$25/(0.5*2.5*1000*Config!$B$41)</f>
        <v/>
      </c>
      <c r="F25" s="277">
        <f>Config!$B$47*$C$25/(0.5*Config!$B$34*1000*Config!$B$41)</f>
        <v/>
      </c>
    </row>
    <row r="26" ht="15" customHeight="1" s="140">
      <c r="B26" s="264" t="inlineStr">
        <is>
          <t>Listed inter-product spread</t>
        </is>
      </c>
      <c r="C26" s="276">
        <f>2*Config!$B$74*Config!$B$41+$F$22*1000*Config!$B$41</f>
        <v/>
      </c>
      <c r="D26" s="277">
        <f>Config!$B$47*$C$26/(0.5*3*1000*Config!$B$41)</f>
        <v/>
      </c>
      <c r="E26" s="277">
        <f>Config!$B$47*$C$26/(0.5*2.5*1000*Config!$B$41)</f>
        <v/>
      </c>
      <c r="F26" s="277">
        <f>Config!$B$47*$C$26/(0.5*Config!$B$34*1000*Config!$B$41)</f>
        <v/>
      </c>
    </row>
    <row r="27"/>
    <row r="28" ht="15" customHeight="1" s="140">
      <c r="B28" s="224" t="inlineStr">
        <is>
          <t>capture = 0.5 x |z| x sigma x USD-per-point x LOTS.  An entry passes when capture &gt;= EDGE_MULTIPLE x total cost.</t>
        </is>
      </c>
    </row>
    <row r="29" ht="15" customHeight="1" s="140">
      <c r="B29" s="246" t="inlineStr">
        <is>
          <t>A lower ENTRY_Z means less expected capture per entry, so it RAISES the sigma the spread must have. 2.5 instead of 3.0 raises it by about 20%.</t>
        </is>
      </c>
    </row>
    <row r="30"/>
    <row r="31" ht="15" customHeight="1" s="140">
      <c r="B31" s="225" t="inlineStr">
        <is>
          <t>ASSUMPTIONS MADE WHILE BUILDING THIS - CHECK THEM</t>
        </is>
      </c>
    </row>
    <row r="32" ht="39.75" customHeight="1" s="140">
      <c r="B32" s="275" t="inlineStr">
        <is>
          <t>-  The repository was empty, so the existing Dashboard layout was reconstructed from the cell references given in the spec (C4, B6, C7, H7/H8, P7/P8, H12/H13/H14/I14, L3). Those coordinates are honoured exactly; the surrounding rows are a best reconstruction. Compare against your live sheet before relying on it.</t>
        </is>
      </c>
    </row>
    <row r="33" ht="39.75" customHeight="1" s="140">
      <c r="B33" s="275" t="inlineStr">
        <is>
          <t>-  The 3:2:1 ask row now mirrors the bid row: I15 uses H14 (CL BID), not I14. The bid row is unchanged. This is the convention the spec described; confirm it is the one you want.</t>
        </is>
      </c>
    </row>
    <row r="34" ht="39.75" customHeight="1" s="140">
      <c r="B34" s="275" t="inlineStr">
        <is>
          <t>-  COMMISSION_BASIS defaults to CONSERVATIVE ($3.82 per lot per leg round turn, reading CME's $1.50 as per side). Switch it to CME_PER_RT on Config if the rate card proves otherwise.</t>
        </is>
      </c>
    </row>
    <row r="35" ht="39.75" customHeight="1" s="140">
      <c r="B35" s="275" t="inlineStr">
        <is>
          <t>-  Contracts charged commission: 2 for BZ-CL and the listed spread, 6 for the 3:2:1 crack (2 RB + 1 HO + 3 CL). Change it in the Config spread table if your clearing differs.</t>
        </is>
      </c>
    </row>
    <row r="36" ht="39.75" customHeight="1" s="140">
      <c r="B36" s="275" t="inlineStr">
        <is>
          <t>-  Slot 3 (3:2:1) has no exchange-listed equivalent, so its LISTED crossing-cost column reads n/a.</t>
        </is>
      </c>
    </row>
    <row r="37" ht="39.75" customHeight="1" s="140">
      <c r="B37" s="275" t="inlineStr">
        <is>
          <t>-  MIN_SIGMA ships at 0 because sigma on these spreads has never been measured. Set it once you have a session of data - until then the degenerate-window guard rests on MAX_ABS_Z alone.</t>
        </is>
      </c>
    </row>
    <row r="38" ht="39.75" customHeight="1" s="140">
      <c r="B38" s="275" t="inlineStr">
        <is>
          <t>-  Application.OnTime cannot go below about one second, so capture at 100 ms runs on a user32 SetTimer with an OnTime watchdog that re-arms it (Excel silently kills API timers when a modal dialog opens). If SetTimer is unavailable, CAPTURE_MS is clamped to 1000 and everything still works - only alert latency changes, not the statistics.</t>
        </is>
      </c>
    </row>
    <row r="39" ht="39.75" customHeight="1" s="140">
      <c r="B39" s="275" t="inlineStr">
        <is>
          <t>-  Capturing at 100 ms does not mean storing at 100 ms, and after dedupe it does not change sigma either. The window holds quote CHANGES, not poll ticks; subsampling a mean-reverting level series is unbiased. 100 ms buys latency to the chime, which for manual execution is not measurable in human terms - so the real reason to capture fast is simply that no genuine quote change is missed.</t>
        </is>
      </c>
    </row>
  </sheetData>
  <mergeCells count="22">
    <mergeCell ref="B14:G14"/>
    <mergeCell ref="B17:G17"/>
    <mergeCell ref="B8:G8"/>
    <mergeCell ref="B13:G13"/>
    <mergeCell ref="B38:G38"/>
    <mergeCell ref="B34:G34"/>
    <mergeCell ref="B10:G10"/>
    <mergeCell ref="B37:G37"/>
    <mergeCell ref="B9:G9"/>
    <mergeCell ref="B15:G15"/>
    <mergeCell ref="B33:G33"/>
    <mergeCell ref="B6:G6"/>
    <mergeCell ref="B5:G5"/>
    <mergeCell ref="B36:G36"/>
    <mergeCell ref="B32:G32"/>
    <mergeCell ref="B4:G4"/>
    <mergeCell ref="B35:G35"/>
    <mergeCell ref="B7:G7"/>
    <mergeCell ref="B3:G3"/>
    <mergeCell ref="B16:G16"/>
    <mergeCell ref="B18:G18"/>
    <mergeCell ref="B39:G3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2026-08-21T11:03:17Z</dcterms:created>
  <dcterms:modified xsi:type="dcterms:W3CDTF">2026-09-14T06:01:31Z</dcterms:modified>
  <cp:lastModifiedBy>USER</cp:lastModifiedBy>
  <cp:revision>0</cp:revision>
</cp:coreProperties>
</file>