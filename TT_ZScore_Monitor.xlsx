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1" min="1" max="1"/>
    <col hidden="1" width="11" customWidth="1" style="141" min="2" max="2"/>
    <col hidden="1" width="30.43" customWidth="1" style="141" min="3" max="3"/>
    <col width="3.43" customWidth="1" style="141" min="4" max="5"/>
    <col width="16.14" customWidth="1" style="142" min="6" max="6"/>
    <col hidden="1" width="30.57" customWidth="1" style="141" min="7" max="7"/>
    <col width="17" customWidth="1" style="141" min="8" max="10"/>
    <col width="17.43" customWidth="1" style="141" min="11" max="12"/>
    <col width="2" customWidth="1" style="141" min="13" max="13"/>
    <col width="17.57" customWidth="1" style="141" min="14" max="14"/>
    <col hidden="1" width="16.72" customWidth="1" style="141" min="15" max="15"/>
    <col width="18.29" customWidth="1" style="141" min="16" max="18"/>
    <col width="16.43" customWidth="1" style="141" min="19" max="20"/>
    <col width="17.29" customWidth="1" style="141" min="24" max="24"/>
    <col width="14.29" customWidth="1" style="141" min="25" max="26"/>
    <col width="11.43" customWidth="1" style="141" min="27" max="27"/>
  </cols>
  <sheetData>
    <row r="1"/>
    <row r="2" ht="68.25" customHeight="1" s="143">
      <c r="A2" s="144" t="n"/>
      <c r="B2" s="145" t="n"/>
      <c r="C2" s="146" t="inlineStr">
        <is>
          <t>ENERGY FUTURES BID / ASK SPREAD MONITOR</t>
        </is>
      </c>
    </row>
    <row r="3" ht="21.75" customHeight="1" s="143">
      <c r="A3" s="144" t="n"/>
      <c r="B3" s="147" t="n"/>
      <c r="C3" s="148" t="n"/>
      <c r="F3" s="149" t="n"/>
      <c r="G3" s="150" t="n"/>
      <c r="L3" s="151" t="n"/>
    </row>
    <row r="4" ht="6.75" customHeight="1" s="143">
      <c r="A4" s="144" t="n"/>
      <c r="B4" s="152" t="inlineStr">
        <is>
          <t>TT MARKET</t>
        </is>
      </c>
      <c r="C4" s="152" t="inlineStr">
        <is>
          <t>CME</t>
        </is>
      </c>
    </row>
    <row r="5" ht="6.75" customHeight="1" s="143">
      <c r="A5" s="144" t="n"/>
      <c r="B5" s="153" t="inlineStr">
        <is>
          <t>TT SHORT NAME</t>
        </is>
      </c>
      <c r="C5" s="153" t="inlineStr">
        <is>
          <t>INSTRUMENT ID</t>
        </is>
      </c>
    </row>
    <row r="6" ht="23.25" customHeight="1" s="143">
      <c r="A6" s="144" t="n"/>
      <c r="B6" s="152" t="inlineStr">
        <is>
          <t>RBV6</t>
        </is>
      </c>
      <c r="C6" s="154" t="n"/>
      <c r="F6" s="155" t="inlineStr">
        <is>
          <t>Symbol</t>
        </is>
      </c>
      <c r="G6" s="156" t="inlineStr">
        <is>
          <t>Contract</t>
        </is>
      </c>
      <c r="H6" s="156" t="inlineStr">
        <is>
          <t>Bid</t>
        </is>
      </c>
      <c r="I6" s="156" t="inlineStr">
        <is>
          <t>Ask</t>
        </is>
      </c>
      <c r="J6" s="156" t="inlineStr">
        <is>
          <t>Gap</t>
        </is>
      </c>
      <c r="K6" s="156" t="inlineStr">
        <is>
          <t>High</t>
        </is>
      </c>
      <c r="L6" s="157" t="inlineStr">
        <is>
          <t>Low</t>
        </is>
      </c>
      <c r="M6" s="158" t="n"/>
      <c r="N6" s="155" t="inlineStr">
        <is>
          <t>Symbol</t>
        </is>
      </c>
      <c r="O6" s="156" t="inlineStr">
        <is>
          <t>Contract</t>
        </is>
      </c>
      <c r="P6" s="156" t="inlineStr">
        <is>
          <t>Bid</t>
        </is>
      </c>
      <c r="Q6" s="156" t="inlineStr">
        <is>
          <t>Ask</t>
        </is>
      </c>
      <c r="R6" s="156" t="inlineStr">
        <is>
          <t>Gap</t>
        </is>
      </c>
      <c r="S6" s="156" t="inlineStr">
        <is>
          <t>High</t>
        </is>
      </c>
      <c r="T6" s="157" t="inlineStr">
        <is>
          <t>Low</t>
        </is>
      </c>
      <c r="U6" s="159" t="n"/>
      <c r="V6" s="159" t="n"/>
    </row>
    <row r="7" ht="55.5" customHeight="1" s="143">
      <c r="A7" s="144" t="n"/>
      <c r="B7" s="152" t="inlineStr">
        <is>
          <t>HOV6</t>
        </is>
      </c>
      <c r="C7" s="154" t="n"/>
      <c r="D7" s="160" t="n"/>
      <c r="E7" s="160" t="n"/>
      <c r="F7" s="161" t="inlineStr">
        <is>
          <t>HOV26
HO Oct 26</t>
        </is>
      </c>
      <c r="G7" s="162" t="inlineStr">
        <is>
          <t>HO Oct 26</t>
        </is>
      </c>
      <c r="H7" s="163" t="n"/>
      <c r="I7" s="164" t="n"/>
      <c r="J7" s="165" t="n"/>
      <c r="K7" s="166" t="n"/>
      <c r="L7" s="167" t="n"/>
      <c r="M7" s="168" t="n"/>
      <c r="N7" s="161" t="inlineStr">
        <is>
          <t>BZV26
BZ Oct 26</t>
        </is>
      </c>
      <c r="O7" s="162" t="inlineStr">
        <is>
          <t>BZ Oct 26</t>
        </is>
      </c>
      <c r="P7" s="163" t="n"/>
      <c r="Q7" s="163" t="n"/>
      <c r="R7" s="169" t="n"/>
      <c r="S7" s="166" t="n"/>
      <c r="T7" s="167" t="n"/>
      <c r="U7" s="159" t="n"/>
      <c r="V7" s="159" t="n"/>
    </row>
    <row r="8" ht="55.5" customHeight="1" s="143">
      <c r="A8" s="144" t="n"/>
      <c r="B8" s="152" t="inlineStr">
        <is>
          <t>BZV6</t>
        </is>
      </c>
      <c r="C8" s="154" t="n"/>
      <c r="D8" s="160" t="n"/>
      <c r="E8" s="160" t="n"/>
      <c r="F8" s="170" t="inlineStr">
        <is>
          <t>CLV26
CL Oct 26</t>
        </is>
      </c>
      <c r="G8" s="171" t="inlineStr">
        <is>
          <t>CL Oct 26</t>
        </is>
      </c>
      <c r="H8" s="172" t="n"/>
      <c r="I8" s="172" t="n"/>
      <c r="J8" s="173" t="n"/>
      <c r="K8" s="174" t="n"/>
      <c r="L8" s="175" t="n"/>
      <c r="M8" s="168" t="n"/>
      <c r="N8" s="170" t="inlineStr">
        <is>
          <t>CLV26
CL Oct 26</t>
        </is>
      </c>
      <c r="O8" s="171" t="inlineStr">
        <is>
          <t>CL Oct 26</t>
        </is>
      </c>
      <c r="P8" s="172" t="n"/>
      <c r="Q8" s="172" t="n"/>
      <c r="R8" s="173" t="n"/>
      <c r="S8" s="174" t="n"/>
      <c r="T8" s="175" t="n"/>
      <c r="U8" s="159" t="n"/>
      <c r="V8" s="159" t="n"/>
    </row>
    <row r="9" ht="55.5" customHeight="1" s="143">
      <c r="A9" s="144" t="n"/>
      <c r="B9" s="152" t="inlineStr">
        <is>
          <t>CLV6</t>
        </is>
      </c>
      <c r="C9" s="154" t="n"/>
      <c r="D9" s="160" t="n"/>
      <c r="E9" s="160" t="n"/>
      <c r="F9" s="176" t="inlineStr">
        <is>
          <t>HO | CL Oct 26 Crack</t>
        </is>
      </c>
      <c r="G9" s="177" t="n"/>
      <c r="H9" s="178" t="n"/>
      <c r="I9" s="178" t="n"/>
      <c r="J9" s="179" t="n"/>
      <c r="K9" s="178" t="n"/>
      <c r="L9" s="180" t="n"/>
      <c r="M9" s="168" t="n"/>
      <c r="N9" s="181" t="inlineStr">
        <is>
          <t>BZ - CL</t>
        </is>
      </c>
      <c r="O9" s="182" t="n"/>
      <c r="P9" s="178" t="n"/>
      <c r="Q9" s="178" t="n"/>
      <c r="R9" s="179" t="n"/>
      <c r="S9" s="178" t="n"/>
      <c r="T9" s="180" t="n"/>
      <c r="U9" s="159" t="n"/>
      <c r="V9" s="159" t="n"/>
    </row>
    <row r="10" ht="36" customHeight="1" s="143">
      <c r="A10" s="144" t="n"/>
      <c r="B10" s="183" t="inlineStr">
        <is>
          <t>CL Oct26 - BZ Oct26 Inter-Product</t>
        </is>
      </c>
      <c r="C10" s="154" t="n"/>
      <c r="D10" s="160" t="n"/>
      <c r="E10" s="160" t="n"/>
      <c r="F10" s="168" t="n"/>
      <c r="G10" s="168" t="n"/>
      <c r="H10" s="168" t="n"/>
      <c r="I10" s="168" t="n"/>
      <c r="J10" s="168" t="n"/>
      <c r="K10" s="168" t="n"/>
      <c r="L10" s="168" t="n"/>
      <c r="M10" s="168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</row>
    <row r="11" ht="42" customHeight="1" s="143">
      <c r="A11" s="144" t="n"/>
      <c r="B11" s="183" t="n"/>
      <c r="C11" s="154" t="n"/>
      <c r="D11" s="160" t="n"/>
      <c r="E11" s="160" t="n"/>
      <c r="F11" s="155" t="inlineStr">
        <is>
          <t>Symbol</t>
        </is>
      </c>
      <c r="G11" s="156" t="inlineStr">
        <is>
          <t>Contract</t>
        </is>
      </c>
      <c r="H11" s="156" t="inlineStr">
        <is>
          <t>Bid</t>
        </is>
      </c>
      <c r="I11" s="156" t="inlineStr">
        <is>
          <t>Ask</t>
        </is>
      </c>
      <c r="J11" s="156" t="inlineStr">
        <is>
          <t>Gap</t>
        </is>
      </c>
      <c r="K11" s="156" t="inlineStr">
        <is>
          <t>High</t>
        </is>
      </c>
      <c r="L11" s="157" t="inlineStr">
        <is>
          <t>Low</t>
        </is>
      </c>
      <c r="M11" s="168" t="n"/>
      <c r="N11" s="184" t="n"/>
      <c r="O11" s="185" t="n"/>
      <c r="P11" s="186" t="n"/>
      <c r="Q11" s="186" t="n"/>
      <c r="R11" s="173" t="n"/>
      <c r="S11" s="187" t="n"/>
      <c r="T11" s="187" t="n"/>
      <c r="U11" s="159" t="n"/>
      <c r="V11" s="159" t="n"/>
    </row>
    <row r="12" ht="50.25" customHeight="1" s="143">
      <c r="A12" s="144" t="n"/>
      <c r="B12" s="183" t="inlineStr">
        <is>
          <t>Oct26 HO-CL Crack</t>
        </is>
      </c>
      <c r="C12" s="154" t="n"/>
      <c r="D12" s="160" t="n"/>
      <c r="E12" s="160" t="n"/>
      <c r="F12" s="188" t="inlineStr">
        <is>
          <t>RBV26</t>
        </is>
      </c>
      <c r="G12" s="162" t="inlineStr">
        <is>
          <t>RB Oct 26</t>
        </is>
      </c>
      <c r="H12" s="163" t="n"/>
      <c r="I12" s="163" t="n"/>
      <c r="J12" s="165" t="n"/>
      <c r="K12" s="166" t="n"/>
      <c r="L12" s="167" t="n"/>
      <c r="M12" s="168" t="n"/>
      <c r="N12" s="168" t="n"/>
      <c r="O12" s="168" t="n"/>
      <c r="P12" s="168" t="n"/>
      <c r="Q12" s="168" t="n"/>
      <c r="R12" s="168" t="n"/>
      <c r="S12" s="189" t="n"/>
      <c r="T12" s="189" t="n"/>
      <c r="U12" s="159" t="n"/>
      <c r="V12" s="159" t="n"/>
    </row>
    <row r="13" ht="50.25" customHeight="1" s="143">
      <c r="A13" s="144" t="n"/>
      <c r="D13" s="160" t="n"/>
      <c r="E13" s="160" t="n"/>
      <c r="F13" s="190" t="inlineStr">
        <is>
          <t>HOV26</t>
        </is>
      </c>
      <c r="G13" s="171" t="inlineStr">
        <is>
          <t>HO Oct 26</t>
        </is>
      </c>
      <c r="H13" s="172" t="n"/>
      <c r="I13" s="172" t="n"/>
      <c r="J13" s="191" t="n"/>
      <c r="K13" s="174" t="n"/>
      <c r="L13" s="175" t="n"/>
      <c r="M13" s="168" t="n"/>
      <c r="N13" s="192" t="n"/>
      <c r="O13" s="192" t="n"/>
      <c r="P13" s="192" t="n"/>
      <c r="Q13" s="192" t="n"/>
      <c r="R13" s="192" t="n"/>
      <c r="S13" s="192" t="n"/>
      <c r="T13" s="192" t="n"/>
      <c r="U13" s="159" t="n"/>
      <c r="V13" s="159" t="n"/>
    </row>
    <row r="14" ht="50.25" customHeight="1" s="143">
      <c r="A14" s="144" t="n"/>
      <c r="D14" s="160" t="n"/>
      <c r="E14" s="160" t="n"/>
      <c r="F14" s="188" t="inlineStr">
        <is>
          <t>CLV26</t>
        </is>
      </c>
      <c r="G14" s="162" t="inlineStr">
        <is>
          <t>CL Oct 26</t>
        </is>
      </c>
      <c r="H14" s="163" t="n"/>
      <c r="I14" s="163" t="n"/>
      <c r="J14" s="169" t="n"/>
      <c r="K14" s="166" t="n"/>
      <c r="L14" s="167" t="n"/>
      <c r="M14" s="168" t="n"/>
      <c r="N14" s="193" t="n"/>
      <c r="O14" s="194" t="n"/>
      <c r="P14" s="195" t="n"/>
      <c r="Q14" s="195" t="n"/>
      <c r="R14" s="196" t="n"/>
      <c r="S14" s="197" t="n"/>
      <c r="T14" s="197" t="n"/>
      <c r="U14" s="159" t="n"/>
      <c r="V14" s="159" t="n"/>
    </row>
    <row r="15" ht="50.25" customHeight="1" s="143">
      <c r="A15" s="144" t="n"/>
      <c r="D15" s="160" t="n"/>
      <c r="E15" s="160" t="n"/>
      <c r="F15" s="198" t="inlineStr">
        <is>
          <t>3:2:1</t>
        </is>
      </c>
      <c r="G15" s="199" t="n"/>
      <c r="H15" s="200" t="n"/>
      <c r="I15" s="200" t="n"/>
      <c r="J15" s="201" t="n"/>
      <c r="K15" s="200" t="n"/>
      <c r="L15" s="202" t="n"/>
      <c r="M15" s="168" t="n"/>
      <c r="N15" s="193" t="n"/>
      <c r="O15" s="194" t="n"/>
      <c r="P15" s="195" t="n"/>
      <c r="Q15" s="195" t="n"/>
      <c r="R15" s="196" t="n"/>
      <c r="S15" s="197" t="n"/>
      <c r="T15" s="197" t="n"/>
      <c r="U15" s="159" t="n"/>
      <c r="V15" s="159" t="n"/>
    </row>
    <row r="16" ht="42" customHeight="1" s="143">
      <c r="A16" s="144" t="n"/>
      <c r="D16" s="160" t="n"/>
      <c r="E16" s="160" t="n"/>
      <c r="F16" s="203" t="n"/>
      <c r="G16" s="204" t="n"/>
      <c r="H16" s="204" t="n"/>
      <c r="I16" s="204" t="n"/>
      <c r="J16" s="204" t="n"/>
      <c r="K16" s="204" t="n"/>
      <c r="L16" s="204" t="n"/>
      <c r="M16" s="204" t="n"/>
      <c r="S16" s="205" t="n"/>
      <c r="T16" s="205" t="n"/>
    </row>
    <row r="17" ht="44.25" customHeight="1" s="143">
      <c r="A17" s="144" t="n"/>
      <c r="F17" s="206" t="inlineStr">
        <is>
          <t>Z-SCORE MONITOR      z is for ENTRIES only - exits act on money, never on z.      The chime fires on the CROSSING of ENTRY_Z, once.</t>
        </is>
      </c>
    </row>
    <row r="18" ht="23.25" customHeight="1" s="143">
      <c r="A18" s="144" t="n"/>
      <c r="F18" s="207" t="inlineStr">
        <is>
          <t>Spread</t>
        </is>
      </c>
      <c r="H18" s="207" t="inlineStr">
        <is>
          <t>Bid</t>
        </is>
      </c>
      <c r="I18" s="207" t="inlineStr">
        <is>
          <t>Direction</t>
        </is>
      </c>
      <c r="J18" s="207" t="inlineStr">
        <is>
          <t>Z-score</t>
        </is>
      </c>
      <c r="K18" s="207" t="inlineStr">
        <is>
          <t>Mean</t>
        </is>
      </c>
      <c r="L18" s="207" t="inlineStr">
        <is>
          <t>Std Dev</t>
        </is>
      </c>
      <c r="N18" s="207" t="inlineStr">
        <is>
          <t>Signal</t>
        </is>
      </c>
      <c r="P18" s="207" t="inlineStr">
        <is>
          <t>Window</t>
        </is>
      </c>
      <c r="Q18" s="207" t="inlineStr">
        <is>
          <t>Costs $</t>
        </is>
      </c>
      <c r="R18" s="207" t="inlineStr">
        <is>
          <t>Win $</t>
        </is>
      </c>
      <c r="S18" s="207" t="inlineStr">
        <is>
          <t>TAKE PROFIT</t>
        </is>
      </c>
      <c r="T18" s="207" t="inlineStr">
        <is>
          <t>TP in sigma</t>
        </is>
      </c>
    </row>
    <row r="19" ht="50.25" customHeight="1" s="143">
      <c r="A19" s="144" t="n"/>
      <c r="F19" s="208" t="inlineStr">
        <is>
          <t>HO | CL Crack</t>
        </is>
      </c>
      <c r="H19" s="209" t="n"/>
      <c r="I19" s="210" t="n"/>
      <c r="J19" s="211" t="n"/>
      <c r="K19" s="212" t="n"/>
      <c r="L19" s="212" t="n"/>
      <c r="N19" s="210" t="n"/>
      <c r="P19" s="210" t="n"/>
      <c r="Q19" s="213" t="n"/>
      <c r="R19" s="213" t="n"/>
      <c r="S19" s="209" t="n"/>
      <c r="T19" s="214" t="n"/>
    </row>
    <row r="20" ht="50.25" customHeight="1" s="143">
      <c r="A20" s="144" t="n"/>
      <c r="F20" s="208" t="inlineStr">
        <is>
          <t>BZ - CL</t>
        </is>
      </c>
      <c r="H20" s="209" t="n"/>
      <c r="I20" s="210" t="n"/>
      <c r="J20" s="211" t="n"/>
      <c r="K20" s="212" t="n"/>
      <c r="L20" s="212" t="n"/>
      <c r="N20" s="210" t="n"/>
      <c r="P20" s="210" t="n"/>
      <c r="Q20" s="213" t="n"/>
      <c r="R20" s="213" t="n"/>
      <c r="S20" s="209" t="n"/>
      <c r="T20" s="214" t="n"/>
    </row>
    <row r="21" ht="50.25" customHeight="1" s="143">
      <c r="A21" s="144" t="n"/>
      <c r="F21" s="215" t="inlineStr">
        <is>
          <t>3:2:1</t>
        </is>
      </c>
      <c r="H21" s="216" t="n"/>
      <c r="I21" s="217" t="n"/>
      <c r="J21" s="218" t="n"/>
      <c r="K21" s="219" t="n"/>
      <c r="L21" s="219" t="n"/>
      <c r="N21" s="217" t="n"/>
      <c r="P21" s="217" t="n"/>
      <c r="Q21" s="220" t="n"/>
      <c r="R21" s="220" t="n"/>
      <c r="S21" s="216" t="n"/>
      <c r="T21" s="221" t="n"/>
    </row>
    <row r="22" ht="36" customHeight="1" s="143">
      <c r="A22" s="144" t="n"/>
      <c r="F22" s="222" t="n"/>
      <c r="G22" s="223" t="n"/>
      <c r="H22" s="223" t="n"/>
      <c r="I22" s="223" t="n"/>
      <c r="J22" s="223" t="n"/>
    </row>
    <row r="23" ht="36" customHeight="1" s="143">
      <c r="A23" s="144" t="n"/>
      <c r="F23" s="224" t="inlineStr">
        <is>
          <t>STOPPED</t>
        </is>
      </c>
      <c r="G23" s="223" t="n"/>
      <c r="H23" s="225" t="inlineStr">
        <is>
          <t>-</t>
        </is>
      </c>
      <c r="I23" s="223" t="n"/>
      <c r="J23" s="223" t="n"/>
      <c r="N23" s="226" t="inlineStr">
        <is>
          <t xml:space="preserve">  &gt;  START  </t>
        </is>
      </c>
      <c r="P23" s="227" t="inlineStr">
        <is>
          <t xml:space="preserve">  #  STOP  </t>
        </is>
      </c>
      <c r="R23" s="228" t="inlineStr">
        <is>
          <t xml:space="preserve">  TEST CHIME  </t>
        </is>
      </c>
    </row>
    <row r="24" ht="36" customHeight="1" s="143">
      <c r="A24" s="144" t="n"/>
      <c r="F24" s="222" t="n"/>
      <c r="G24" s="223" t="n"/>
      <c r="H24" s="223" t="n"/>
      <c r="I24" s="223" t="n"/>
      <c r="J24" s="223" t="n"/>
    </row>
    <row r="25" ht="15" customHeight="1" s="143">
      <c r="A25" s="144" t="n"/>
    </row>
    <row r="26" ht="39.75" customHeight="1" s="143">
      <c r="A26" s="144" t="n"/>
    </row>
    <row r="27" ht="15" customHeight="1" s="143">
      <c r="A27" s="144" t="n"/>
    </row>
    <row r="28" ht="15" customHeight="1" s="143">
      <c r="A28" s="144" t="n"/>
    </row>
    <row r="29" ht="36" customHeight="1" s="143">
      <c r="A29" s="144" t="n"/>
      <c r="F29" s="222" t="n"/>
      <c r="G29" s="223" t="n"/>
      <c r="H29" s="223" t="n"/>
      <c r="I29" s="223" t="n"/>
      <c r="J29" s="223" t="n"/>
    </row>
    <row r="30" ht="36" customHeight="1" s="143">
      <c r="A30" s="144" t="n"/>
      <c r="F30" s="222" t="n"/>
      <c r="G30" s="223" t="n"/>
      <c r="H30" s="223" t="n"/>
      <c r="I30" s="223" t="n"/>
      <c r="J30" s="223" t="n"/>
    </row>
    <row r="31" ht="36" customHeight="1" s="143">
      <c r="A31" s="144" t="n"/>
      <c r="F31" s="222" t="n"/>
      <c r="G31" s="223" t="n"/>
      <c r="H31" s="223" t="n"/>
      <c r="I31" s="223" t="n"/>
      <c r="J31" s="223" t="n"/>
    </row>
    <row r="32" ht="36" customHeight="1" s="143">
      <c r="A32" s="144" t="n"/>
      <c r="F32" s="222" t="n"/>
      <c r="G32" s="223" t="n"/>
      <c r="H32" s="223" t="n"/>
      <c r="I32" s="223" t="n"/>
      <c r="J32" s="223" t="n"/>
    </row>
    <row r="33" ht="36" customHeight="1" s="143">
      <c r="A33" s="144" t="n"/>
      <c r="F33" s="222" t="n"/>
      <c r="G33" s="223" t="n"/>
      <c r="H33" s="223" t="n"/>
      <c r="I33" s="223" t="n"/>
      <c r="J33" s="223" t="n"/>
    </row>
    <row r="34" ht="36" customHeight="1" s="143">
      <c r="A34" s="144" t="n"/>
      <c r="F34" s="222" t="n"/>
      <c r="G34" s="223" t="n"/>
      <c r="H34" s="223" t="n"/>
      <c r="I34" s="223" t="n"/>
      <c r="J34" s="223" t="n"/>
    </row>
    <row r="35" ht="36" customHeight="1" s="143">
      <c r="A35" s="144" t="n"/>
      <c r="F35" s="222" t="n"/>
      <c r="G35" s="223" t="n"/>
      <c r="H35" s="223" t="n"/>
      <c r="I35" s="223" t="n"/>
      <c r="J35" s="223" t="n"/>
    </row>
    <row r="36" ht="36" customHeight="1" s="143">
      <c r="A36" s="144" t="n"/>
      <c r="F36" s="222" t="n"/>
      <c r="G36" s="223" t="n"/>
      <c r="H36" s="223" t="n"/>
      <c r="I36" s="223" t="n"/>
      <c r="J36" s="223" t="n"/>
    </row>
    <row r="37" ht="36" customHeight="1" s="143">
      <c r="A37" s="144" t="n"/>
      <c r="F37" s="222" t="n"/>
      <c r="G37" s="223" t="n"/>
      <c r="H37" s="223" t="n"/>
      <c r="I37" s="223" t="n"/>
      <c r="J37" s="223" t="n"/>
    </row>
    <row r="38" ht="36" customHeight="1" s="143">
      <c r="A38" s="144" t="n"/>
      <c r="F38" s="222" t="n"/>
      <c r="G38" s="223" t="n"/>
      <c r="H38" s="223" t="n"/>
      <c r="I38" s="223" t="n"/>
      <c r="J38" s="223" t="n"/>
    </row>
    <row r="39" ht="36" customHeight="1" s="143">
      <c r="A39" s="144" t="n"/>
      <c r="F39" s="222" t="n"/>
      <c r="G39" s="223" t="n"/>
      <c r="H39" s="223" t="n"/>
      <c r="I39" s="223" t="n"/>
      <c r="J39" s="223" t="n"/>
    </row>
    <row r="40" ht="36" customHeight="1" s="143">
      <c r="F40" s="222" t="n"/>
      <c r="G40" s="223" t="n"/>
      <c r="H40" s="223" t="n"/>
      <c r="I40" s="223" t="n"/>
      <c r="J40" s="223" t="n"/>
    </row>
    <row r="41" ht="36" customHeight="1" s="143">
      <c r="F41" s="222" t="n"/>
      <c r="G41" s="223" t="n"/>
      <c r="H41" s="223" t="n"/>
      <c r="I41" s="223" t="n"/>
      <c r="J41" s="223" t="n"/>
    </row>
    <row r="42" ht="36" customHeight="1" s="143">
      <c r="F42" s="222" t="n"/>
      <c r="G42" s="223" t="n"/>
      <c r="H42" s="223" t="n"/>
      <c r="I42" s="223" t="n"/>
      <c r="J42" s="223" t="n"/>
    </row>
    <row r="43" ht="36" customHeight="1" s="143">
      <c r="F43" s="222" t="n"/>
      <c r="G43" s="223" t="n"/>
      <c r="H43" s="223" t="n"/>
      <c r="I43" s="223" t="n"/>
      <c r="J43" s="223" t="n"/>
    </row>
    <row r="44" ht="36" customHeight="1" s="143">
      <c r="F44" s="222" t="n"/>
      <c r="G44" s="223" t="n"/>
      <c r="H44" s="223" t="n"/>
      <c r="I44" s="223" t="n"/>
      <c r="J44" s="223" t="n"/>
    </row>
    <row r="45" ht="36" customHeight="1" s="143">
      <c r="F45" s="222" t="n"/>
      <c r="G45" s="223" t="n"/>
      <c r="H45" s="223" t="n"/>
      <c r="I45" s="223" t="n"/>
      <c r="J45" s="223" t="n"/>
    </row>
    <row r="46" ht="36" customHeight="1" s="143">
      <c r="F46" s="222" t="n"/>
      <c r="G46" s="223" t="n"/>
      <c r="H46" s="223" t="n"/>
      <c r="I46" s="223" t="n"/>
      <c r="J46" s="223" t="n"/>
    </row>
    <row r="47" ht="36" customHeight="1" s="143">
      <c r="F47" s="222" t="n"/>
      <c r="G47" s="223" t="n"/>
      <c r="H47" s="223" t="n"/>
      <c r="I47" s="223" t="n"/>
      <c r="J47" s="223" t="n"/>
    </row>
    <row r="48" ht="36" customHeight="1" s="143">
      <c r="F48" s="222" t="n"/>
      <c r="G48" s="223" t="n"/>
      <c r="H48" s="223" t="n"/>
      <c r="I48" s="223" t="n"/>
      <c r="J48" s="223" t="n"/>
    </row>
    <row r="49" ht="36" customHeight="1" s="143">
      <c r="F49" s="222" t="n"/>
      <c r="G49" s="223" t="n"/>
      <c r="H49" s="223" t="n"/>
      <c r="I49" s="223" t="n"/>
      <c r="J49" s="223" t="n"/>
    </row>
    <row r="50" ht="36" customHeight="1" s="143">
      <c r="F50" s="222" t="n"/>
      <c r="G50" s="223" t="n"/>
      <c r="H50" s="223" t="n"/>
      <c r="I50" s="223" t="n"/>
      <c r="J50" s="223" t="n"/>
    </row>
    <row r="51" ht="36" customHeight="1" s="143">
      <c r="F51" s="222" t="n"/>
      <c r="G51" s="223" t="n"/>
      <c r="H51" s="223" t="n"/>
      <c r="I51" s="223" t="n"/>
      <c r="J51" s="223" t="n"/>
    </row>
  </sheetData>
  <mergeCells count="4">
    <mergeCell ref="F15:G15"/>
    <mergeCell ref="B2:B3"/>
    <mergeCell ref="C2:T2"/>
    <mergeCell ref="F17:T17"/>
  </mergeCells>
  <conditionalFormatting sqref="J19">
    <cfRule type="expression" rank="0" priority="2" equalAverage="0" aboveAverage="0" dxfId="0" text="" percent="0" bottom="0">
      <formula>OR($N$19="NO USABLE Z",$N$19="STALE FEED")</formula>
    </cfRule>
    <cfRule type="expression" rank="0" priority="3" equalAverage="0" aboveAverage="0" dxfId="1" text="" percent="0" bottom="0">
      <formula>$N$19="WARMING UP"</formula>
    </cfRule>
    <cfRule type="expression" rank="0" priority="4" equalAverage="0" aboveAverage="0" dxfId="2" text="" percent="0" bottom="0">
      <formula>$N$19="ABOVE CEILING"</formula>
    </cfRule>
    <cfRule type="expression" rank="0" priority="5" equalAverage="0" aboveAverage="0" dxfId="3" text="" percent="0" bottom="0">
      <formula>$N$19="ENTRY BAND"</formula>
    </cfRule>
  </conditionalFormatting>
  <conditionalFormatting sqref="N19">
    <cfRule type="expression" rank="0" priority="6" equalAverage="0" aboveAverage="0" dxfId="0" text="" percent="0" bottom="0">
      <formula>OR($N$19="NO USABLE Z",$N$19="STALE FEED")</formula>
    </cfRule>
    <cfRule type="expression" rank="0" priority="7" equalAverage="0" aboveAverage="0" dxfId="1" text="" percent="0" bottom="0">
      <formula>$N$19="WARMING UP"</formula>
    </cfRule>
    <cfRule type="expression" rank="0" priority="8" equalAverage="0" aboveAverage="0" dxfId="2" text="" percent="0" bottom="0">
      <formula>$N$19="ABOVE CEILING"</formula>
    </cfRule>
    <cfRule type="expression" rank="0" priority="9" equalAverage="0" aboveAverage="0" dxfId="3" text="" percent="0" bottom="0">
      <formula>$N$19="ENTRY BAND"</formula>
    </cfRule>
  </conditionalFormatting>
  <conditionalFormatting sqref="T19">
    <cfRule type="expression" rank="0" priority="10" equalAverage="0" aboveAverage="0" dxfId="2" text="" percent="0" bottom="0">
      <formula>AND(ISNUMBER($T$19),ISNUMBER($J$19),$T$19&gt;ABS($J$19))</formula>
    </cfRule>
  </conditionalFormatting>
  <conditionalFormatting sqref="J20">
    <cfRule type="expression" rank="0" priority="11" equalAverage="0" aboveAverage="0" dxfId="0" text="" percent="0" bottom="0">
      <formula>OR($N$20="NO USABLE Z",$N$20="STALE FEED")</formula>
    </cfRule>
    <cfRule type="expression" rank="0" priority="12" equalAverage="0" aboveAverage="0" dxfId="1" text="" percent="0" bottom="0">
      <formula>$N$20="WARMING UP"</formula>
    </cfRule>
    <cfRule type="expression" rank="0" priority="13" equalAverage="0" aboveAverage="0" dxfId="2" text="" percent="0" bottom="0">
      <formula>$N$20="ABOVE CEILING"</formula>
    </cfRule>
    <cfRule type="expression" rank="0" priority="14" equalAverage="0" aboveAverage="0" dxfId="3" text="" percent="0" bottom="0">
      <formula>$N$20="ENTRY BAND"</formula>
    </cfRule>
  </conditionalFormatting>
  <conditionalFormatting sqref="N20">
    <cfRule type="expression" rank="0" priority="15" equalAverage="0" aboveAverage="0" dxfId="0" text="" percent="0" bottom="0">
      <formula>OR($N$20="NO USABLE Z",$N$20="STALE FEED")</formula>
    </cfRule>
    <cfRule type="expression" rank="0" priority="16" equalAverage="0" aboveAverage="0" dxfId="1" text="" percent="0" bottom="0">
      <formula>$N$20="WARMING UP"</formula>
    </cfRule>
    <cfRule type="expression" rank="0" priority="17" equalAverage="0" aboveAverage="0" dxfId="2" text="" percent="0" bottom="0">
      <formula>$N$20="ABOVE CEILING"</formula>
    </cfRule>
    <cfRule type="expression" rank="0" priority="18" equalAverage="0" aboveAverage="0" dxfId="3" text="" percent="0" bottom="0">
      <formula>$N$20="ENTRY BAND"</formula>
    </cfRule>
  </conditionalFormatting>
  <conditionalFormatting sqref="T20">
    <cfRule type="expression" rank="0" priority="19" equalAverage="0" aboveAverage="0" dxfId="2" text="" percent="0" bottom="0">
      <formula>AND(ISNUMBER($T$20),ISNUMBER($J$20),$T$20&gt;ABS($J$20))</formula>
    </cfRule>
  </conditionalFormatting>
  <conditionalFormatting sqref="J21">
    <cfRule type="expression" rank="0" priority="20" equalAverage="0" aboveAverage="0" dxfId="0" text="" percent="0" bottom="0">
      <formula>OR($N$21="NO USABLE Z",$N$21="STALE FEED")</formula>
    </cfRule>
    <cfRule type="expression" rank="0" priority="21" equalAverage="0" aboveAverage="0" dxfId="1" text="" percent="0" bottom="0">
      <formula>$N$21="WARMING UP"</formula>
    </cfRule>
    <cfRule type="expression" rank="0" priority="22" equalAverage="0" aboveAverage="0" dxfId="2" text="" percent="0" bottom="0">
      <formula>$N$21="ABOVE CEILING"</formula>
    </cfRule>
    <cfRule type="expression" rank="0" priority="23" equalAverage="0" aboveAverage="0" dxfId="3" text="" percent="0" bottom="0">
      <formula>$N$21="ENTRY BAND"</formula>
    </cfRule>
  </conditionalFormatting>
  <conditionalFormatting sqref="N21">
    <cfRule type="expression" rank="0" priority="24" equalAverage="0" aboveAverage="0" dxfId="0" text="" percent="0" bottom="0">
      <formula>OR($N$21="NO USABLE Z",$N$21="STALE FEED")</formula>
    </cfRule>
    <cfRule type="expression" rank="0" priority="25" equalAverage="0" aboveAverage="0" dxfId="1" text="" percent="0" bottom="0">
      <formula>$N$21="WARMING UP"</formula>
    </cfRule>
    <cfRule type="expression" rank="0" priority="26" equalAverage="0" aboveAverage="0" dxfId="2" text="" percent="0" bottom="0">
      <formula>$N$21="ABOVE CEILING"</formula>
    </cfRule>
    <cfRule type="expression" rank="0" priority="27" equalAverage="0" aboveAverage="0" dxfId="3" text="" percent="0" bottom="0">
      <formula>$N$21="ENTRY BAND"</formula>
    </cfRule>
  </conditionalFormatting>
  <conditionalFormatting sqref="T21">
    <cfRule type="expression" rank="0" priority="28" equalAverage="0" aboveAverage="0" dxfId="2" text="" percent="0" bottom="0">
      <formula>AND(ISNUMBER($T$21),ISNUMBER($J$21),$T$21&gt;ABS($J$21))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1" min="1" max="1"/>
    <col width="32" customWidth="1" style="141" min="2" max="2"/>
    <col width="20" customWidth="1" style="141" min="3" max="3"/>
    <col width="18" customWidth="1" style="141" min="4" max="7"/>
    <col width="12" customWidth="1" style="141" min="8" max="11"/>
    <col width="14" customWidth="1" style="141" min="12" max="12"/>
    <col width="46" customWidth="1" style="141" min="13" max="13"/>
  </cols>
  <sheetData>
    <row r="1" ht="17.35" customHeight="1" s="143">
      <c r="B1" s="229" t="inlineStr">
        <is>
          <t>DETAIL   -   full breakdown behind the Dashboard</t>
        </is>
      </c>
    </row>
    <row r="2" ht="15" customHeight="1" s="143">
      <c r="B2" s="230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3">
      <c r="B4" s="231" t="inlineStr">
        <is>
          <t>OUTRIGHT LEGS</t>
        </is>
      </c>
    </row>
    <row r="5" ht="15" customHeight="1" s="143">
      <c r="B5" s="232" t="inlineStr">
        <is>
          <t>Symbol</t>
        </is>
      </c>
      <c r="C5" s="232" t="inlineStr">
        <is>
          <t>Instrument ID</t>
        </is>
      </c>
      <c r="D5" s="232" t="inlineStr">
        <is>
          <t>Description</t>
        </is>
      </c>
      <c r="E5" s="232" t="inlineStr">
        <is>
          <t>Contract</t>
        </is>
      </c>
      <c r="H5" s="232" t="inlineStr">
        <is>
          <t>Bid</t>
        </is>
      </c>
      <c r="I5" s="232" t="inlineStr">
        <is>
          <t>Ask</t>
        </is>
      </c>
      <c r="J5" s="232" t="inlineStr">
        <is>
          <t>High</t>
        </is>
      </c>
      <c r="K5" s="232" t="inlineStr">
        <is>
          <t>Low</t>
        </is>
      </c>
      <c r="L5" s="232" t="inlineStr">
        <is>
          <t>Mid</t>
        </is>
      </c>
      <c r="M5" s="232" t="inlineStr">
        <is>
          <t>Gap</t>
        </is>
      </c>
    </row>
    <row r="6" ht="15" customHeight="1" s="143">
      <c r="B6" s="233" t="inlineStr">
        <is>
          <t>RBV6</t>
        </is>
      </c>
      <c r="C6" s="234" t="n"/>
      <c r="D6" s="235" t="inlineStr">
        <is>
          <t>RBOB Gasoline Oct26</t>
        </is>
      </c>
      <c r="E6" s="236" t="inlineStr">
        <is>
          <t>42,000 gal</t>
        </is>
      </c>
      <c r="H6" s="237" t="n"/>
      <c r="I6" s="237" t="n"/>
      <c r="J6" s="237" t="n"/>
      <c r="K6" s="237" t="n"/>
      <c r="L6" s="237" t="n"/>
      <c r="M6" s="237" t="n"/>
    </row>
    <row r="7" ht="15" customHeight="1" s="143">
      <c r="B7" s="233" t="inlineStr">
        <is>
          <t>HOV6</t>
        </is>
      </c>
      <c r="C7" s="234" t="n"/>
      <c r="D7" s="235" t="inlineStr">
        <is>
          <t>NY Harbor ULSD Oct26</t>
        </is>
      </c>
      <c r="E7" s="236" t="inlineStr">
        <is>
          <t>42,000 gal</t>
        </is>
      </c>
      <c r="H7" s="237" t="n"/>
      <c r="I7" s="237" t="n"/>
      <c r="J7" s="237" t="n"/>
      <c r="K7" s="237" t="n"/>
      <c r="L7" s="237" t="n"/>
      <c r="M7" s="237" t="n"/>
    </row>
    <row r="8" ht="15" customHeight="1" s="143">
      <c r="B8" s="233" t="inlineStr">
        <is>
          <t>CLV6</t>
        </is>
      </c>
      <c r="C8" s="234" t="n"/>
      <c r="D8" s="235" t="inlineStr">
        <is>
          <t>WTI Crude Oct26</t>
        </is>
      </c>
      <c r="E8" s="236" t="inlineStr">
        <is>
          <t>1,000 bbl</t>
        </is>
      </c>
      <c r="H8" s="237" t="n"/>
      <c r="I8" s="237" t="n"/>
      <c r="J8" s="237" t="n"/>
      <c r="K8" s="237" t="n"/>
      <c r="L8" s="237" t="n"/>
      <c r="M8" s="237" t="n"/>
    </row>
    <row r="9" ht="15" customHeight="1" s="143">
      <c r="B9" s="233" t="inlineStr">
        <is>
          <t>BZV6</t>
        </is>
      </c>
      <c r="C9" s="234" t="n"/>
      <c r="D9" s="235" t="inlineStr">
        <is>
          <t>Brent Last Day Fin Oct26</t>
        </is>
      </c>
      <c r="E9" s="236" t="inlineStr">
        <is>
          <t>1,000 bbl</t>
        </is>
      </c>
      <c r="H9" s="237" t="n"/>
      <c r="I9" s="237" t="n"/>
      <c r="J9" s="237" t="n"/>
      <c r="K9" s="237" t="n"/>
      <c r="L9" s="237" t="n"/>
      <c r="M9" s="237" t="n"/>
    </row>
    <row r="10"/>
    <row r="11" ht="15" customHeight="1" s="143">
      <c r="B11" s="231" t="inlineStr">
        <is>
          <t>DERIVED &amp; LISTED SPREADS</t>
        </is>
      </c>
    </row>
    <row r="12" ht="15" customHeight="1" s="143">
      <c r="B12" s="232" t="inlineStr">
        <is>
          <t>Spread</t>
        </is>
      </c>
      <c r="C12" s="232" t="inlineStr">
        <is>
          <t>Basis</t>
        </is>
      </c>
      <c r="D12" s="232" t="inlineStr">
        <is>
          <t>Crossing convention</t>
        </is>
      </c>
      <c r="H12" s="232" t="inlineStr">
        <is>
          <t>Bid</t>
        </is>
      </c>
      <c r="I12" s="232" t="inlineStr">
        <is>
          <t>Ask</t>
        </is>
      </c>
      <c r="L12" s="232" t="inlineStr">
        <is>
          <t>Mid</t>
        </is>
      </c>
      <c r="M12" s="232" t="inlineStr">
        <is>
          <t>Gap</t>
        </is>
      </c>
    </row>
    <row r="13" ht="15" customHeight="1" s="143">
      <c r="B13" s="233" t="inlineStr">
        <is>
          <t>BZ - CL</t>
        </is>
      </c>
      <c r="C13" s="236" t="inlineStr">
        <is>
          <t>legged</t>
        </is>
      </c>
      <c r="D13" s="238" t="inlineStr">
        <is>
          <t>bid = BZ bid - CL ask ; ask = BZ ask - CL bid</t>
        </is>
      </c>
      <c r="H13" s="237" t="n"/>
      <c r="I13" s="237" t="n"/>
      <c r="L13" s="237" t="n"/>
      <c r="M13" s="237" t="n"/>
    </row>
    <row r="14" ht="15" customHeight="1" s="143">
      <c r="B14" s="233" t="inlineStr">
        <is>
          <t>HO/CL crack</t>
        </is>
      </c>
      <c r="C14" s="236" t="inlineStr">
        <is>
          <t>legged</t>
        </is>
      </c>
      <c r="D14" s="238" t="inlineStr">
        <is>
          <t>bid = HO bid x42 - CL ask ; ask = HO ask x42 - CL bid</t>
        </is>
      </c>
      <c r="H14" s="237" t="n"/>
      <c r="I14" s="237" t="n"/>
      <c r="L14" s="237" t="n"/>
      <c r="M14" s="237" t="n"/>
    </row>
    <row r="15" ht="15" customHeight="1" s="143">
      <c r="B15" s="233" t="inlineStr">
        <is>
          <t>3:2:1 crack</t>
        </is>
      </c>
      <c r="C15" s="236" t="inlineStr">
        <is>
          <t>legged</t>
        </is>
      </c>
      <c r="D15" s="238" t="inlineStr">
        <is>
          <t>bid sells products at the bid and buys crude at the ask; ask mirrors it</t>
        </is>
      </c>
      <c r="H15" s="237" t="n"/>
      <c r="I15" s="237" t="n"/>
      <c r="L15" s="237" t="n"/>
      <c r="M15" s="237" t="n"/>
    </row>
    <row r="16" ht="15" customHeight="1" s="143">
      <c r="B16" s="233" t="inlineStr">
        <is>
          <t>CL Oct26 - BZ Oct26 Inter-Product</t>
        </is>
      </c>
      <c r="C16" s="236" t="inlineStr">
        <is>
          <t>listed</t>
        </is>
      </c>
      <c r="D16" s="238" t="inlineStr">
        <is>
          <t>exchange-listed - one quote, no leg risk</t>
        </is>
      </c>
      <c r="H16" s="237" t="n"/>
      <c r="I16" s="237" t="n"/>
      <c r="L16" s="237" t="n"/>
      <c r="M16" s="237" t="n"/>
    </row>
    <row r="17" ht="15" customHeight="1" s="143">
      <c r="B17" s="233" t="inlineStr">
        <is>
          <t>Oct26 HO-CL Crack</t>
        </is>
      </c>
      <c r="C17" s="236" t="inlineStr">
        <is>
          <t>listed</t>
        </is>
      </c>
      <c r="D17" s="238" t="inlineStr">
        <is>
          <t>exchange-listed - one quote, no leg risk</t>
        </is>
      </c>
      <c r="H17" s="237" t="n"/>
      <c r="I17" s="237" t="n"/>
      <c r="L17" s="237" t="n"/>
      <c r="M17" s="237" t="n"/>
    </row>
    <row r="18"/>
    <row r="19" ht="15" customHeight="1" s="143">
      <c r="B19" s="231" t="inlineStr">
        <is>
          <t>PER-SPREAD BREAKDOWN</t>
        </is>
      </c>
    </row>
    <row r="20" ht="15" customHeight="1" s="143">
      <c r="B20" s="232" t="inlineStr">
        <is>
          <t>Metric</t>
        </is>
      </c>
      <c r="C20" s="232" t="inlineStr">
        <is>
          <t>Unit / note</t>
        </is>
      </c>
      <c r="D20" s="232" t="inlineStr">
        <is>
          <t>SPREAD 1</t>
        </is>
      </c>
      <c r="E20" s="232" t="inlineStr">
        <is>
          <t>SPREAD 2</t>
        </is>
      </c>
      <c r="F20" s="232" t="inlineStr">
        <is>
          <t>SPREAD 3</t>
        </is>
      </c>
      <c r="G20" s="232" t="inlineStr">
        <is>
          <t>SPREAD 4</t>
        </is>
      </c>
    </row>
    <row r="21" ht="15" customHeight="1" s="143">
      <c r="B21" s="239" t="inlineStr">
        <is>
          <t>Spread</t>
        </is>
      </c>
      <c r="C21" s="238" t="n"/>
      <c r="D21" s="240" t="n"/>
      <c r="E21" s="240" t="n"/>
      <c r="F21" s="240" t="n"/>
      <c r="G21" s="240" t="n"/>
    </row>
    <row r="22" ht="15" customHeight="1" s="143">
      <c r="B22" s="239" t="inlineStr">
        <is>
          <t>Definition</t>
        </is>
      </c>
      <c r="C22" s="238" t="inlineStr">
        <is>
          <t>LegB - beta x LegA</t>
        </is>
      </c>
      <c r="D22" s="240" t="n"/>
      <c r="E22" s="240" t="n"/>
      <c r="F22" s="240" t="n"/>
      <c r="G22" s="240" t="n"/>
    </row>
    <row r="23" ht="15" customHeight="1" s="143">
      <c r="B23" s="239" t="inlineStr">
        <is>
          <t>Mode</t>
        </is>
      </c>
      <c r="C23" s="238" t="n"/>
      <c r="D23" s="240" t="n"/>
      <c r="E23" s="240" t="n"/>
      <c r="F23" s="240" t="n"/>
      <c r="G23" s="240" t="n"/>
    </row>
    <row r="24" ht="15" customHeight="1" s="143">
      <c r="B24" s="239" t="inlineStr">
        <is>
          <t>HEDGE_RATIO (beta)</t>
        </is>
      </c>
      <c r="C24" s="238" t="inlineStr">
        <is>
          <t>stamped pair -&gt;</t>
        </is>
      </c>
      <c r="D24" s="240" t="n"/>
      <c r="E24" s="240" t="n"/>
      <c r="F24" s="240" t="n"/>
      <c r="G24" s="240" t="n"/>
    </row>
    <row r="25" ht="15" customHeight="1" s="143">
      <c r="B25" s="239" t="inlineStr">
        <is>
          <t>USD per 1.00 of spread</t>
        </is>
      </c>
      <c r="C25" s="238" t="inlineStr">
        <is>
          <t>per lot</t>
        </is>
      </c>
      <c r="D25" s="241" t="n"/>
      <c r="E25" s="241" t="n"/>
      <c r="F25" s="241" t="n"/>
      <c r="G25" s="241" t="n"/>
    </row>
    <row r="26" ht="15" customHeight="1" s="143">
      <c r="B26" s="242" t="inlineStr">
        <is>
          <t>MARKET  (touch, shown separately from the statistic)</t>
        </is>
      </c>
      <c r="C26" s="243" t="n"/>
      <c r="D26" s="243" t="n"/>
      <c r="E26" s="243" t="n"/>
      <c r="F26" s="243" t="n"/>
      <c r="G26" s="243" t="n"/>
    </row>
    <row r="27" ht="15" customHeight="1" s="143">
      <c r="B27" s="239" t="inlineStr">
        <is>
          <t>Spread bid</t>
        </is>
      </c>
      <c r="C27" s="238" t="n"/>
      <c r="D27" s="237" t="n"/>
      <c r="E27" s="237" t="n"/>
      <c r="F27" s="237" t="n"/>
      <c r="G27" s="237" t="n"/>
    </row>
    <row r="28" ht="15" customHeight="1" s="143">
      <c r="B28" s="239" t="inlineStr">
        <is>
          <t>Spread ask</t>
        </is>
      </c>
      <c r="C28" s="238" t="n"/>
      <c r="D28" s="237" t="n"/>
      <c r="E28" s="237" t="n"/>
      <c r="F28" s="237" t="n"/>
      <c r="G28" s="237" t="n"/>
    </row>
    <row r="29" ht="15" customHeight="1" s="143">
      <c r="B29" s="239" t="inlineStr">
        <is>
          <t>Spread mid   &lt;- feeds the statistic</t>
        </is>
      </c>
      <c r="C29" s="238" t="n"/>
      <c r="D29" s="237" t="n"/>
      <c r="E29" s="237" t="n"/>
      <c r="F29" s="237" t="n"/>
      <c r="G29" s="237" t="n"/>
    </row>
    <row r="30" ht="15" customHeight="1" s="143">
      <c r="B30" s="239" t="inlineStr">
        <is>
          <t>Bid-Ask Gap</t>
        </is>
      </c>
      <c r="C30" s="238" t="inlineStr">
        <is>
          <t>spread units</t>
        </is>
      </c>
      <c r="D30" s="237" t="n"/>
      <c r="E30" s="237" t="n"/>
      <c r="F30" s="237" t="n"/>
      <c r="G30" s="237" t="n"/>
    </row>
    <row r="31" ht="15" customHeight="1" s="143">
      <c r="B31" s="242" t="inlineStr">
        <is>
          <t>WINDOW</t>
        </is>
      </c>
      <c r="C31" s="243" t="n"/>
      <c r="D31" s="243" t="n"/>
      <c r="E31" s="243" t="n"/>
      <c r="F31" s="243" t="n"/>
      <c r="G31" s="243" t="n"/>
    </row>
    <row r="32" ht="15" customHeight="1" s="143">
      <c r="B32" s="239" t="inlineStr">
        <is>
          <t>Stored samples in window</t>
        </is>
      </c>
      <c r="C32" s="238" t="inlineStr">
        <is>
          <t>after dedupe + store gate</t>
        </is>
      </c>
      <c r="D32" s="241" t="n"/>
      <c r="E32" s="241" t="n"/>
      <c r="F32" s="241" t="n"/>
      <c r="G32" s="241" t="n"/>
    </row>
    <row r="33" ht="15" customHeight="1" s="143">
      <c r="B33" s="239" t="inlineStr">
        <is>
          <t>Window elapsed</t>
        </is>
      </c>
      <c r="C33" s="238" t="inlineStr">
        <is>
          <t>min</t>
        </is>
      </c>
      <c r="D33" s="244" t="n"/>
      <c r="E33" s="244" t="n"/>
      <c r="F33" s="244" t="n"/>
      <c r="G33" s="244" t="n"/>
    </row>
    <row r="34" ht="15" customHeight="1" s="143">
      <c r="B34" s="239" t="inlineStr">
        <is>
          <t>Warm-up gate</t>
        </is>
      </c>
      <c r="C34" s="238" t="inlineStr">
        <is>
          <t>binding gate</t>
        </is>
      </c>
      <c r="D34" s="240" t="n"/>
      <c r="E34" s="240" t="n"/>
      <c r="F34" s="240" t="n"/>
      <c r="G34" s="240" t="n"/>
    </row>
    <row r="35" ht="15" customHeight="1" s="143">
      <c r="B35" s="239" t="inlineStr">
        <is>
          <t>Feed rate</t>
        </is>
      </c>
      <c r="C35" s="238" t="inlineStr">
        <is>
          <t>quote CHANGES / min</t>
        </is>
      </c>
      <c r="D35" s="245" t="n"/>
      <c r="E35" s="245" t="n"/>
      <c r="F35" s="245" t="n"/>
      <c r="G35" s="245" t="n"/>
    </row>
    <row r="36" ht="15" customHeight="1" s="143">
      <c r="B36" s="239" t="inlineStr">
        <is>
          <t>Feed status</t>
        </is>
      </c>
      <c r="C36" s="238" t="n"/>
      <c r="D36" s="240" t="n"/>
      <c r="E36" s="240" t="n"/>
      <c r="F36" s="240" t="n"/>
      <c r="G36" s="240" t="n"/>
    </row>
    <row r="37" ht="15" customHeight="1" s="143">
      <c r="B37" s="242" t="inlineStr">
        <is>
          <t>STATISTICS  (FROZEN - republished every STATS_REFRESH_MIN)</t>
        </is>
      </c>
      <c r="C37" s="243" t="n"/>
      <c r="D37" s="243" t="n"/>
      <c r="E37" s="243" t="n"/>
      <c r="F37" s="243" t="n"/>
      <c r="G37" s="243" t="n"/>
    </row>
    <row r="38" ht="15" customHeight="1" s="143">
      <c r="B38" s="239" t="inlineStr">
        <is>
          <t>Mean (frozen)</t>
        </is>
      </c>
      <c r="C38" s="238" t="n"/>
      <c r="D38" s="237" t="n"/>
      <c r="E38" s="237" t="n"/>
      <c r="F38" s="237" t="n"/>
      <c r="G38" s="237" t="n"/>
    </row>
    <row r="39" ht="15" customHeight="1" s="143">
      <c r="B39" s="239" t="inlineStr">
        <is>
          <t>Std Dev (frozen)</t>
        </is>
      </c>
      <c r="C39" s="238" t="n"/>
      <c r="D39" s="237" t="n"/>
      <c r="E39" s="237" t="n"/>
      <c r="F39" s="237" t="n"/>
      <c r="G39" s="237" t="n"/>
    </row>
    <row r="40" ht="15" customHeight="1" s="143">
      <c r="B40" s="239" t="inlineStr">
        <is>
          <t>Std Dev in dollars</t>
        </is>
      </c>
      <c r="C40" s="238" t="inlineStr">
        <is>
          <t>sigma x USD/pt x LOTS</t>
        </is>
      </c>
      <c r="D40" s="246" t="n"/>
      <c r="E40" s="246" t="n"/>
      <c r="F40" s="246" t="n"/>
      <c r="G40" s="246" t="n"/>
    </row>
    <row r="41" ht="15" customHeight="1" s="143">
      <c r="B41" s="239" t="inlineStr">
        <is>
          <t>Stats age / next refresh</t>
        </is>
      </c>
      <c r="C41" s="238" t="inlineStr">
        <is>
          <t>min</t>
        </is>
      </c>
      <c r="D41" s="240" t="n"/>
      <c r="E41" s="240" t="n"/>
      <c r="F41" s="240" t="n"/>
      <c r="G41" s="240" t="n"/>
    </row>
    <row r="42" ht="15" customHeight="1" s="143">
      <c r="B42" s="247" t="inlineStr">
        <is>
          <t>Z  (live, vs frozen mean &amp; sigma)</t>
        </is>
      </c>
      <c r="C42" s="238" t="n"/>
      <c r="D42" s="248" t="n"/>
      <c r="E42" s="248" t="n"/>
      <c r="F42" s="248" t="n"/>
      <c r="G42" s="248" t="n"/>
    </row>
    <row r="43" ht="15" customHeight="1" s="143">
      <c r="B43" s="247" t="inlineStr">
        <is>
          <t>SIGNAL</t>
        </is>
      </c>
      <c r="C43" s="238" t="n"/>
      <c r="D43" s="249" t="n"/>
      <c r="E43" s="249" t="n"/>
      <c r="F43" s="249" t="n"/>
      <c r="G43" s="249" t="n"/>
    </row>
    <row r="44" ht="15" customHeight="1" s="143">
      <c r="B44" s="242" t="inlineStr">
        <is>
          <t>COST OF THE ROUND TRIP</t>
        </is>
      </c>
      <c r="C44" s="243" t="n"/>
      <c r="D44" s="243" t="n"/>
      <c r="E44" s="243" t="n"/>
      <c r="F44" s="243" t="n"/>
      <c r="G44" s="243" t="n"/>
    </row>
    <row r="45" ht="15" customHeight="1" s="143">
      <c r="B45" s="239" t="inlineStr">
        <is>
          <t>Direction</t>
        </is>
      </c>
      <c r="C45" s="238" t="n"/>
      <c r="D45" s="240" t="n"/>
      <c r="E45" s="240" t="n"/>
      <c r="F45" s="240" t="n"/>
      <c r="G45" s="240" t="n"/>
    </row>
    <row r="46" ht="15" customHeight="1" s="143">
      <c r="B46" s="239" t="inlineStr">
        <is>
          <t>Entry reference (touch)</t>
        </is>
      </c>
      <c r="C46" s="238" t="n"/>
      <c r="D46" s="237" t="n"/>
      <c r="E46" s="237" t="n"/>
      <c r="F46" s="237" t="n"/>
      <c r="G46" s="237" t="n"/>
    </row>
    <row r="47" ht="15" customHeight="1" s="143">
      <c r="B47" s="239" t="inlineStr">
        <is>
          <t>Commission</t>
        </is>
      </c>
      <c r="C47" s="238" t="inlineStr">
        <is>
          <t>contracts x rate x LOTS</t>
        </is>
      </c>
      <c r="D47" s="246" t="n"/>
      <c r="E47" s="246" t="n"/>
      <c r="F47" s="246" t="n"/>
      <c r="G47" s="246" t="n"/>
    </row>
    <row r="48" ht="15" customHeight="1" s="143">
      <c r="B48" s="239" t="inlineStr">
        <is>
          <t>Crossing cost - LEGGING</t>
        </is>
      </c>
      <c r="C48" s="238" t="n"/>
      <c r="D48" s="246" t="n"/>
      <c r="E48" s="246" t="n"/>
      <c r="F48" s="246" t="n"/>
      <c r="G48" s="246" t="n"/>
    </row>
    <row r="49" ht="15" customHeight="1" s="143">
      <c r="B49" s="239" t="inlineStr">
        <is>
          <t>Crossing cost - LISTED</t>
        </is>
      </c>
      <c r="C49" s="238" t="n"/>
      <c r="D49" s="246" t="n"/>
      <c r="E49" s="246" t="n"/>
      <c r="F49" s="246" t="n"/>
      <c r="G49" s="246" t="n"/>
    </row>
    <row r="50" ht="15" customHeight="1" s="143">
      <c r="B50" s="247" t="inlineStr">
        <is>
          <t>TOTAL COST (this mode)</t>
        </is>
      </c>
      <c r="C50" s="238" t="n"/>
      <c r="D50" s="250" t="n"/>
      <c r="E50" s="250" t="n"/>
      <c r="F50" s="250" t="n"/>
      <c r="G50" s="250" t="n"/>
    </row>
    <row r="51" ht="15" customHeight="1" s="143">
      <c r="B51" s="242" t="inlineStr">
        <is>
          <t>TAKE PROFIT  (exits act on MONEY, never on z)</t>
        </is>
      </c>
      <c r="C51" s="243" t="n"/>
      <c r="D51" s="243" t="n"/>
      <c r="E51" s="243" t="n"/>
      <c r="F51" s="243" t="n"/>
      <c r="G51" s="243" t="n"/>
    </row>
    <row r="52" ht="15" customHeight="1" s="143">
      <c r="B52" s="239" t="inlineStr">
        <is>
          <t>TP rule in force</t>
        </is>
      </c>
      <c r="C52" s="238" t="n"/>
      <c r="D52" s="240" t="n"/>
      <c r="E52" s="240" t="n"/>
      <c r="F52" s="240" t="n"/>
      <c r="G52" s="240" t="n"/>
    </row>
    <row r="53" ht="15" customHeight="1" s="143">
      <c r="B53" s="239" t="inlineStr">
        <is>
          <t>Notional (per NOTIONAL_BASIS)</t>
        </is>
      </c>
      <c r="C53" s="238" t="n"/>
      <c r="D53" s="246" t="n"/>
      <c r="E53" s="246" t="n"/>
      <c r="F53" s="246" t="n"/>
      <c r="G53" s="246" t="n"/>
    </row>
    <row r="54" ht="15" customHeight="1" s="143">
      <c r="B54" s="239" t="inlineStr">
        <is>
          <t>Win target (WIN_PCT x notional)</t>
        </is>
      </c>
      <c r="C54" s="238" t="n"/>
      <c r="D54" s="246" t="n"/>
      <c r="E54" s="246" t="n"/>
      <c r="F54" s="246" t="n"/>
      <c r="G54" s="246" t="n"/>
    </row>
    <row r="55" ht="15" customHeight="1" s="143">
      <c r="B55" s="239" t="inlineStr">
        <is>
          <t>Costs in spread units</t>
        </is>
      </c>
      <c r="C55" s="238" t="n"/>
      <c r="D55" s="237" t="n"/>
      <c r="E55" s="237" t="n"/>
      <c r="F55" s="237" t="n"/>
      <c r="G55" s="237" t="n"/>
    </row>
    <row r="56" ht="15" customHeight="1" s="143">
      <c r="B56" s="239" t="inlineStr">
        <is>
          <t>Win in spread units</t>
        </is>
      </c>
      <c r="C56" s="238" t="n"/>
      <c r="D56" s="237" t="n"/>
      <c r="E56" s="237" t="n"/>
      <c r="F56" s="237" t="n"/>
      <c r="G56" s="237" t="n"/>
    </row>
    <row r="57" ht="15" customHeight="1" s="143">
      <c r="B57" s="239" t="inlineStr">
        <is>
          <t>Break-even spread</t>
        </is>
      </c>
      <c r="C57" s="238" t="inlineStr">
        <is>
          <t>absolute level</t>
        </is>
      </c>
      <c r="D57" s="237" t="n"/>
      <c r="E57" s="237" t="n"/>
      <c r="F57" s="237" t="n"/>
      <c r="G57" s="237" t="n"/>
    </row>
    <row r="58" ht="15" customHeight="1" s="143">
      <c r="B58" s="247" t="inlineStr">
        <is>
          <t>TAKE-PROFIT spread</t>
        </is>
      </c>
      <c r="C58" s="238" t="inlineStr">
        <is>
          <t>absolute level</t>
        </is>
      </c>
      <c r="D58" s="251" t="n"/>
      <c r="E58" s="251" t="n"/>
      <c r="F58" s="251" t="n"/>
      <c r="G58" s="251" t="n"/>
    </row>
    <row r="59" ht="15" customHeight="1" s="143">
      <c r="B59" s="239" t="inlineStr">
        <is>
          <t>TP distance</t>
        </is>
      </c>
      <c r="C59" s="238" t="inlineStr">
        <is>
          <t>spread units</t>
        </is>
      </c>
      <c r="D59" s="237" t="n"/>
      <c r="E59" s="237" t="n"/>
      <c r="F59" s="237" t="n"/>
      <c r="G59" s="237" t="n"/>
    </row>
    <row r="60" ht="15" customHeight="1" s="143">
      <c r="B60" s="239" t="inlineStr">
        <is>
          <t>TP in sigma</t>
        </is>
      </c>
      <c r="C60" s="238" t="inlineStr">
        <is>
          <t>x sigma</t>
        </is>
      </c>
      <c r="D60" s="244" t="n"/>
      <c r="E60" s="244" t="n"/>
      <c r="F60" s="244" t="n"/>
      <c r="G60" s="244" t="n"/>
    </row>
    <row r="61" ht="15" customHeight="1" s="143">
      <c r="B61" s="239" t="inlineStr">
        <is>
          <t>Target z</t>
        </is>
      </c>
      <c r="C61" s="238" t="inlineStr">
        <is>
          <t>z at the TP level</t>
        </is>
      </c>
      <c r="D61" s="244" t="n"/>
      <c r="E61" s="244" t="n"/>
      <c r="F61" s="244" t="n"/>
      <c r="G61" s="244" t="n"/>
    </row>
    <row r="62" ht="15" customHeight="1" s="143">
      <c r="B62" s="239" t="inlineStr">
        <is>
          <t>TP beyond the mean?</t>
        </is>
      </c>
      <c r="C62" s="238" t="n"/>
      <c r="D62" s="240" t="n"/>
      <c r="E62" s="240" t="n"/>
      <c r="F62" s="240" t="n"/>
      <c r="G62" s="240" t="n"/>
    </row>
    <row r="63" ht="15" customHeight="1" s="143">
      <c r="B63" s="242" t="inlineStr">
        <is>
          <t>EDGE FILTER  (a separate gate from ENTRY_Z)</t>
        </is>
      </c>
      <c r="C63" s="243" t="n"/>
      <c r="D63" s="243" t="n"/>
      <c r="E63" s="243" t="n"/>
      <c r="F63" s="243" t="n"/>
      <c r="G63" s="243" t="n"/>
    </row>
    <row r="64" ht="15" customHeight="1" s="143">
      <c r="B64" s="239" t="inlineStr">
        <is>
          <t>Expected capture</t>
        </is>
      </c>
      <c r="C64" s="238" t="inlineStr">
        <is>
          <t>0.5 x |z| x sigma x USD/pt x LOTS</t>
        </is>
      </c>
      <c r="D64" s="246" t="n"/>
      <c r="E64" s="246" t="n"/>
      <c r="F64" s="246" t="n"/>
      <c r="G64" s="246" t="n"/>
    </row>
    <row r="65" ht="15" customHeight="1" s="143">
      <c r="B65" s="239" t="inlineStr">
        <is>
          <t>Required</t>
        </is>
      </c>
      <c r="C65" s="238" t="inlineStr">
        <is>
          <t>EDGE_MULTIPLE x total cost</t>
        </is>
      </c>
      <c r="D65" s="246" t="n"/>
      <c r="E65" s="246" t="n"/>
      <c r="F65" s="246" t="n"/>
      <c r="G65" s="246" t="n"/>
    </row>
    <row r="66" ht="15" customHeight="1" s="143">
      <c r="B66" s="247" t="inlineStr">
        <is>
          <t>EDGE VERDICT</t>
        </is>
      </c>
      <c r="C66" s="238" t="n"/>
      <c r="D66" s="249" t="n"/>
      <c r="E66" s="249" t="n"/>
      <c r="F66" s="249" t="n"/>
      <c r="G66" s="249" t="n"/>
    </row>
    <row r="67" ht="15" customHeight="1" s="143">
      <c r="B67" s="239" t="inlineStr">
        <is>
          <t>Min sigma to pass at live z</t>
        </is>
      </c>
      <c r="C67" s="238" t="inlineStr">
        <is>
          <t>spread units</t>
        </is>
      </c>
      <c r="D67" s="237" t="n"/>
      <c r="E67" s="237" t="n"/>
      <c r="F67" s="237" t="n"/>
      <c r="G67" s="237" t="n"/>
    </row>
    <row r="68"/>
    <row r="69" ht="15" customHeight="1" s="143">
      <c r="B69" s="252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3">
      <c r="B70" s="230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1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1" min="1" max="1"/>
    <col width="34" customWidth="1" style="141" min="2" max="2"/>
    <col width="14" customWidth="1" style="141" min="3" max="3"/>
    <col width="10" customWidth="1" style="141" min="4" max="4"/>
    <col width="96" customWidth="1" style="141" min="5" max="5"/>
    <col width="30" customWidth="1" style="141" min="6" max="6"/>
    <col width="12" customWidth="1" style="141" min="7" max="8"/>
    <col width="10" customWidth="1" style="141" min="9" max="9"/>
    <col width="8" customWidth="1" style="141" min="10" max="10"/>
    <col width="34" customWidth="1" style="141" min="11" max="11"/>
  </cols>
  <sheetData>
    <row r="1" ht="19.7" customHeight="1" s="143">
      <c r="A1" s="253" t="inlineStr">
        <is>
          <t>CONFIG  -  every parameter in its own labelled cell</t>
        </is>
      </c>
    </row>
    <row r="2" ht="15" customHeight="1" s="143">
      <c r="A2" s="254" t="inlineStr">
        <is>
          <t>LEGEND:  yellow / blue = EDIT THESE.  black = formula, do not edit.  A changed value takes effect on the NEXT TIMER TICK - no restart, no VBA edit.</t>
        </is>
      </c>
    </row>
    <row r="3" ht="15" customHeight="1" s="143">
      <c r="A3" s="230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3">
      <c r="A4" s="230" t="inlineStr">
        <is>
          <t>VBA finds a parameter by matching column A exactly, so you may insert or reorder rows freely - but never rename a parameter in column A.</t>
        </is>
      </c>
    </row>
    <row r="5" ht="15" customHeight="1" s="143">
      <c r="A5" s="254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3">
      <c r="A7" s="255" t="inlineStr">
        <is>
          <t>ENGINE  /  SAMPLING</t>
        </is>
      </c>
      <c r="B7" s="255" t="n"/>
      <c r="C7" s="255" t="n"/>
      <c r="D7" s="255" t="n"/>
      <c r="E7" s="255" t="n"/>
    </row>
    <row r="8" ht="15" customHeight="1" s="143">
      <c r="A8" s="256" t="inlineStr">
        <is>
          <t>Parameter</t>
        </is>
      </c>
      <c r="B8" s="256" t="inlineStr">
        <is>
          <t>Value</t>
        </is>
      </c>
      <c r="C8" s="256" t="inlineStr">
        <is>
          <t>Default</t>
        </is>
      </c>
      <c r="D8" s="256" t="inlineStr">
        <is>
          <t>Units</t>
        </is>
      </c>
      <c r="E8" s="256" t="inlineStr">
        <is>
          <t>Meaning</t>
        </is>
      </c>
    </row>
    <row r="9" ht="15" customHeight="1" s="143">
      <c r="A9" s="247" t="inlineStr">
        <is>
          <t>CAPTURE_MS</t>
        </is>
      </c>
      <c r="B9" s="257" t="n">
        <v>100</v>
      </c>
      <c r="C9" s="236" t="n">
        <v>100</v>
      </c>
      <c r="D9" s="236" t="inlineStr">
        <is>
          <t>ms</t>
        </is>
      </c>
      <c r="E9" s="258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3">
      <c r="A10" s="247" t="inlineStr">
        <is>
          <t>STORE_MIN_INTERVAL_MS</t>
        </is>
      </c>
      <c r="B10" s="257" t="n">
        <v>0</v>
      </c>
      <c r="C10" s="236" t="n">
        <v>0</v>
      </c>
      <c r="D10" s="236" t="inlineStr">
        <is>
          <t>ms</t>
        </is>
      </c>
      <c r="E10" s="258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3">
      <c r="A11" s="247" t="inlineStr">
        <is>
          <t>PRICE_REFRESH_MS</t>
        </is>
      </c>
      <c r="B11" s="257" t="n">
        <v>500</v>
      </c>
      <c r="C11" s="236" t="n">
        <v>500</v>
      </c>
      <c r="D11" s="236" t="inlineStr">
        <is>
          <t>ms</t>
        </is>
      </c>
      <c r="E11" s="258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3">
      <c r="A12" s="247" t="inlineStr">
        <is>
          <t>CONFIG_REFRESH_MS</t>
        </is>
      </c>
      <c r="B12" s="257" t="n">
        <v>1000</v>
      </c>
      <c r="C12" s="236" t="n">
        <v>1000</v>
      </c>
      <c r="D12" s="236" t="inlineStr">
        <is>
          <t>ms</t>
        </is>
      </c>
      <c r="E12" s="258" t="inlineStr">
        <is>
          <t>How often this sheet is re-read. A value changed here takes effect within this long - no restart, no VBA edit.</t>
        </is>
      </c>
    </row>
    <row r="13" ht="15" customHeight="1" s="143">
      <c r="A13" s="247" t="inlineStr">
        <is>
          <t>RTD_THROTTLE_MS</t>
        </is>
      </c>
      <c r="B13" s="257" t="n">
        <v>100</v>
      </c>
      <c r="C13" s="236" t="n">
        <v>100</v>
      </c>
      <c r="D13" s="236" t="inlineStr">
        <is>
          <t>ms</t>
        </is>
      </c>
      <c r="E13" s="258" t="inlineStr">
        <is>
          <t>Application.RTD.ThrottleInterval set on start. Match it to CAPTURE_MS. Excel's default is 2000.</t>
        </is>
      </c>
    </row>
    <row r="14" ht="15" customHeight="1" s="143">
      <c r="A14" s="247" t="inlineStr">
        <is>
          <t>WATCHDOG_SEC</t>
        </is>
      </c>
      <c r="B14" s="257" t="n">
        <v>5</v>
      </c>
      <c r="C14" s="236" t="n">
        <v>5</v>
      </c>
      <c r="D14" s="236" t="inlineStr">
        <is>
          <t>s</t>
        </is>
      </c>
      <c r="E14" s="258" t="inlineStr">
        <is>
          <t>Application.OnTime watchdog. Re-arms the high-resolution timer if Excel killed it (a modal dialog will) and picks up a changed CAPTURE_MS.</t>
        </is>
      </c>
    </row>
    <row r="15" ht="15" customHeight="1" s="143">
      <c r="A15" s="247" t="inlineStr">
        <is>
          <t>STALE_SEC</t>
        </is>
      </c>
      <c r="B15" s="257" t="n">
        <v>15</v>
      </c>
      <c r="C15" s="236" t="n">
        <v>15</v>
      </c>
      <c r="D15" s="236" t="inlineStr">
        <is>
          <t>s</t>
        </is>
      </c>
      <c r="E15" s="258" t="inlineStr">
        <is>
          <t>No new quote id for this long =&gt; feed marked STALE and alerts go silent.</t>
        </is>
      </c>
    </row>
    <row r="16" ht="15" customHeight="1" s="143">
      <c r="A16" s="247" t="inlineStr">
        <is>
          <t>FLUSH_SEC</t>
        </is>
      </c>
      <c r="B16" s="257" t="n">
        <v>60</v>
      </c>
      <c r="C16" s="236" t="n">
        <v>60</v>
      </c>
      <c r="D16" s="236" t="inlineStr">
        <is>
          <t>s</t>
        </is>
      </c>
      <c r="E16" s="258" t="inlineStr">
        <is>
          <t>How often the recovery snapshot is written to the hidden Buffer sheet.</t>
        </is>
      </c>
    </row>
    <row r="17" ht="15" customHeight="1" s="143">
      <c r="A17" s="247" t="inlineStr">
        <is>
          <t>FLUSH_DECIMATE_MS</t>
        </is>
      </c>
      <c r="B17" s="257" t="n">
        <v>1000</v>
      </c>
      <c r="C17" s="236" t="n">
        <v>1000</v>
      </c>
      <c r="D17" s="236" t="inlineStr">
        <is>
          <t>ms</t>
        </is>
      </c>
      <c r="E17" s="258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3">
      <c r="A18" s="247" t="inlineStr">
        <is>
          <t>BUFFER_CAPACITY</t>
        </is>
      </c>
      <c r="B18" s="257" t="n">
        <v>80000</v>
      </c>
      <c r="C18" s="236" t="n">
        <v>80000</v>
      </c>
      <c r="D18" s="236" t="inlineStr">
        <is>
          <t>samples</t>
        </is>
      </c>
      <c r="E18" s="258" t="inlineStr">
        <is>
          <t>Circular-buffer capacity per spread. 4 spreads x 80,000 x 16 bytes is about 5 MB of VBA array, held in memory, not in cells.</t>
        </is>
      </c>
    </row>
    <row r="19" ht="15" customHeight="1" s="143">
      <c r="A19" s="247" t="inlineStr">
        <is>
          <t>TICK_ARCHIVE_ENABLED</t>
        </is>
      </c>
      <c r="B19" s="257" t="b">
        <v>1</v>
      </c>
      <c r="C19" s="236" t="b">
        <v>1</v>
      </c>
      <c r="D19" s="236" t="inlineStr">
        <is>
          <t>bool</t>
        </is>
      </c>
      <c r="E19" s="258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3">
      <c r="A20" s="247" t="inlineStr">
        <is>
          <t>TICK_ARCHIVE_PATH</t>
        </is>
      </c>
      <c r="B20" s="259" t="n"/>
      <c r="C20" s="236" t="n"/>
      <c r="D20" s="236" t="inlineStr">
        <is>
          <t>folder</t>
        </is>
      </c>
      <c r="E20" s="258" t="inlineStr">
        <is>
          <t>Folder for the tick CSVs. Blank = a 'ticks' folder beside the workbook. One file per spread per day.</t>
        </is>
      </c>
    </row>
    <row r="21" ht="15" customHeight="1" s="143">
      <c r="A21" s="247" t="inlineStr">
        <is>
          <t>TICK_ARCHIVE_BATCH</t>
        </is>
      </c>
      <c r="B21" s="257" t="n">
        <v>500</v>
      </c>
      <c r="C21" s="236" t="n">
        <v>500</v>
      </c>
      <c r="D21" s="236" t="inlineStr">
        <is>
          <t>lines</t>
        </is>
      </c>
      <c r="E21" s="258" t="inlineStr">
        <is>
          <t>Lines buffered in memory before a file write, so archiving never stalls the capture timer.</t>
        </is>
      </c>
    </row>
    <row r="22"/>
    <row r="23" ht="15" customHeight="1" s="143">
      <c r="A23" s="255" t="inlineStr">
        <is>
          <t>WINDOW  /  STATISTICS</t>
        </is>
      </c>
      <c r="B23" s="255" t="n"/>
      <c r="C23" s="255" t="n"/>
      <c r="D23" s="255" t="n"/>
      <c r="E23" s="255" t="n"/>
    </row>
    <row r="24" ht="15" customHeight="1" s="143">
      <c r="A24" s="256" t="inlineStr">
        <is>
          <t>Parameter</t>
        </is>
      </c>
      <c r="B24" s="256" t="inlineStr">
        <is>
          <t>Value</t>
        </is>
      </c>
      <c r="C24" s="256" t="inlineStr">
        <is>
          <t>Default</t>
        </is>
      </c>
      <c r="D24" s="256" t="inlineStr">
        <is>
          <t>Units</t>
        </is>
      </c>
      <c r="E24" s="256" t="inlineStr">
        <is>
          <t>Meaning</t>
        </is>
      </c>
    </row>
    <row r="25" ht="15" customHeight="1" s="143">
      <c r="A25" s="247" t="inlineStr">
        <is>
          <t>LOOKBACK_MIN</t>
        </is>
      </c>
      <c r="B25" s="257" t="n">
        <v>120</v>
      </c>
      <c r="C25" s="236" t="n">
        <v>120</v>
      </c>
      <c r="D25" s="236" t="inlineStr">
        <is>
          <t>min</t>
        </is>
      </c>
      <c r="E25" s="258" t="inlineStr">
        <is>
          <t>Rolling window width (90 or 120). Changing it re-evaluates stored history on the next stats refresh and re-applies the warm-up gates.</t>
        </is>
      </c>
    </row>
    <row r="26" ht="15" customHeight="1" s="143">
      <c r="A26" s="247" t="inlineStr">
        <is>
          <t>STATS_REFRESH_MIN</t>
        </is>
      </c>
      <c r="B26" s="257" t="n">
        <v>5</v>
      </c>
      <c r="C26" s="236" t="n">
        <v>5</v>
      </c>
      <c r="D26" s="236" t="inlineStr">
        <is>
          <t>min</t>
        </is>
      </c>
      <c r="E26" s="258" t="inlineStr">
        <is>
          <t>How often mean/sigma are recomputed and re-published. Held FROZEN in between; live z is measured against the frozen values.</t>
        </is>
      </c>
    </row>
    <row r="27" ht="15" customHeight="1" s="143">
      <c r="A27" s="247" t="inlineStr">
        <is>
          <t>MIN_SAMPLES</t>
        </is>
      </c>
      <c r="B27" s="257" t="n">
        <v>300</v>
      </c>
      <c r="C27" s="236" t="n">
        <v>300</v>
      </c>
      <c r="D27" s="236" t="inlineStr">
        <is>
          <t>quotes</t>
        </is>
      </c>
      <c r="E27" s="258" t="inlineStr">
        <is>
          <t>Warm-up gate 1. Quotes needed before any z is shown.</t>
        </is>
      </c>
    </row>
    <row r="28" ht="15" customHeight="1" s="143">
      <c r="A28" s="247" t="inlineStr">
        <is>
          <t>MIN_HISTORY_MIN</t>
        </is>
      </c>
      <c r="B28" s="257" t="n">
        <v>120</v>
      </c>
      <c r="C28" s="236" t="n">
        <v>120</v>
      </c>
      <c r="D28" s="236" t="inlineStr">
        <is>
          <t>min</t>
        </is>
      </c>
      <c r="E28" s="258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3">
      <c r="A29" s="247" t="inlineStr">
        <is>
          <t>MIN_SIGMA</t>
        </is>
      </c>
      <c r="B29" s="257" t="n">
        <v>0</v>
      </c>
      <c r="C29" s="236" t="n">
        <v>0</v>
      </c>
      <c r="D29" s="236" t="inlineStr">
        <is>
          <t>spread</t>
        </is>
      </c>
      <c r="E29" s="258" t="inlineStr">
        <is>
          <t>Sigma floor. Below this the window is degenerate and NO z is shown. Set once sigma has actually been measured.</t>
        </is>
      </c>
    </row>
    <row r="30" ht="15" customHeight="1" s="143">
      <c r="A30" s="247" t="inlineStr">
        <is>
          <t>MAX_ABS_Z</t>
        </is>
      </c>
      <c r="B30" s="257" t="n">
        <v>25</v>
      </c>
      <c r="C30" s="236" t="n">
        <v>25</v>
      </c>
      <c r="D30" s="236" t="inlineStr">
        <is>
          <t>z</t>
        </is>
      </c>
      <c r="E30" s="258" t="inlineStr">
        <is>
          <t>Absurd-z guard. Above this, show 'no usable z' rather than a number.</t>
        </is>
      </c>
    </row>
    <row r="31"/>
    <row r="32" ht="15" customHeight="1" s="143">
      <c r="A32" s="255" t="inlineStr">
        <is>
          <t>SIGNAL THRESHOLDS</t>
        </is>
      </c>
      <c r="B32" s="255" t="n"/>
      <c r="C32" s="255" t="n"/>
      <c r="D32" s="255" t="n"/>
      <c r="E32" s="255" t="n"/>
    </row>
    <row r="33" ht="15" customHeight="1" s="143">
      <c r="A33" s="256" t="inlineStr">
        <is>
          <t>Parameter</t>
        </is>
      </c>
      <c r="B33" s="256" t="inlineStr">
        <is>
          <t>Value</t>
        </is>
      </c>
      <c r="C33" s="256" t="inlineStr">
        <is>
          <t>Default</t>
        </is>
      </c>
      <c r="D33" s="256" t="inlineStr">
        <is>
          <t>Units</t>
        </is>
      </c>
      <c r="E33" s="256" t="inlineStr">
        <is>
          <t>Meaning</t>
        </is>
      </c>
    </row>
    <row r="34" ht="15" customHeight="1" s="143">
      <c r="A34" s="247" t="inlineStr">
        <is>
          <t>ENTRY_Z</t>
        </is>
      </c>
      <c r="B34" s="260" t="n">
        <v>2.5</v>
      </c>
      <c r="C34" s="261" t="n">
        <v>2.5</v>
      </c>
      <c r="D34" s="236" t="inlineStr">
        <is>
          <t>z</t>
        </is>
      </c>
      <c r="E34" s="258" t="inlineStr">
        <is>
          <t>Highlight and chime at or above this |z|. 2.0 and 2.5 are both reasonable; 2.0 fires more often and needs a larger sigma to stay worth trading.</t>
        </is>
      </c>
    </row>
    <row r="35" ht="15" customHeight="1" s="143">
      <c r="A35" s="247" t="inlineStr">
        <is>
          <t>MAX_ENTRY_Z</t>
        </is>
      </c>
      <c r="B35" s="260" t="n">
        <v>4.5</v>
      </c>
      <c r="C35" s="261" t="n">
        <v>4.5</v>
      </c>
      <c r="D35" s="236" t="inlineStr">
        <is>
          <t>z</t>
        </is>
      </c>
      <c r="E35" s="258" t="inlineStr">
        <is>
          <t>Entry CEILING. At or above this, do NOT highlight - that is a momentum spike, not a reversion setup. Keep the band at least 1 sigma wide.</t>
        </is>
      </c>
    </row>
    <row r="36" ht="15" customHeight="1" s="143">
      <c r="A36" s="247" t="inlineStr">
        <is>
          <t>THIN_FEED_QPM</t>
        </is>
      </c>
      <c r="B36" s="257" t="n">
        <v>6</v>
      </c>
      <c r="C36" s="236" t="n">
        <v>6</v>
      </c>
      <c r="D36" s="236" t="inlineStr">
        <is>
          <t>q/min</t>
        </is>
      </c>
      <c r="E36" s="258" t="inlineStr">
        <is>
          <t>Feed rate at or below which the quotes/min display turns amber.</t>
        </is>
      </c>
    </row>
    <row r="37" ht="15" customHeight="1" s="143">
      <c r="A37" s="247" t="inlineStr">
        <is>
          <t>SPREAD_QUOTE_CONVENTION</t>
        </is>
      </c>
      <c r="B37" s="259" t="inlineStr">
        <is>
          <t>CROSSING</t>
        </is>
      </c>
      <c r="C37" s="236" t="inlineStr">
        <is>
          <t>CROSSING</t>
        </is>
      </c>
      <c r="D37" s="236" t="inlineStr">
        <is>
          <t>text</t>
        </is>
      </c>
      <c r="E37" s="258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3">
      <c r="A39" s="255" t="inlineStr">
        <is>
          <t>SIZING  /  COSTS</t>
        </is>
      </c>
      <c r="B39" s="255" t="n"/>
      <c r="C39" s="255" t="n"/>
      <c r="D39" s="255" t="n"/>
      <c r="E39" s="255" t="n"/>
    </row>
    <row r="40" ht="15" customHeight="1" s="143">
      <c r="A40" s="256" t="inlineStr">
        <is>
          <t>Parameter</t>
        </is>
      </c>
      <c r="B40" s="256" t="inlineStr">
        <is>
          <t>Value</t>
        </is>
      </c>
      <c r="C40" s="256" t="inlineStr">
        <is>
          <t>Default</t>
        </is>
      </c>
      <c r="D40" s="256" t="inlineStr">
        <is>
          <t>Units</t>
        </is>
      </c>
      <c r="E40" s="256" t="inlineStr">
        <is>
          <t>Meaning</t>
        </is>
      </c>
    </row>
    <row r="41" ht="15" customHeight="1" s="143">
      <c r="A41" s="247" t="inlineStr">
        <is>
          <t>LOTS</t>
        </is>
      </c>
      <c r="B41" s="257" t="n">
        <v>1</v>
      </c>
      <c r="C41" s="236" t="n">
        <v>1</v>
      </c>
      <c r="D41" s="236" t="inlineStr">
        <is>
          <t>lots</t>
        </is>
      </c>
      <c r="E41" s="258" t="inlineStr">
        <is>
          <t>Contracts per leg, for the cost and take-profit maths.</t>
        </is>
      </c>
    </row>
    <row r="42" ht="15" customHeight="1" s="143">
      <c r="A42" s="247" t="inlineStr">
        <is>
          <t>TP_MODE</t>
        </is>
      </c>
      <c r="B42" s="259" t="inlineStr">
        <is>
          <t>PCT_NOTIONAL</t>
        </is>
      </c>
      <c r="C42" s="236" t="inlineStr">
        <is>
          <t>PCT_NOTIONAL</t>
        </is>
      </c>
      <c r="D42" s="236" t="inlineStr">
        <is>
          <t>text</t>
        </is>
      </c>
      <c r="E42" s="258" t="inlineStr">
        <is>
          <t>PCT_NOTIONAL: Take Profit = Entry + Costs + (WIN_PCT x Notional). TARGET_USD: the older rule, Take Profit = Entry + Costs + TARGET_NET_USD.</t>
        </is>
      </c>
    </row>
    <row r="43" ht="15" customHeight="1" s="143">
      <c r="A43" s="247" t="inlineStr">
        <is>
          <t>WIN_PCT</t>
        </is>
      </c>
      <c r="B43" s="260" t="n">
        <v>0.01</v>
      </c>
      <c r="C43" s="261" t="n">
        <v>0.01</v>
      </c>
      <c r="D43" s="236" t="inlineStr">
        <is>
          <t>fraction</t>
        </is>
      </c>
      <c r="E43" s="258" t="inlineStr">
        <is>
          <t>Percentage win, as a FRACTION - 0.01 is 1%, 0.02 is 2%. Used only when TP_MODE = PCT_NOTIONAL.</t>
        </is>
      </c>
    </row>
    <row r="44" ht="15" customHeight="1" s="143">
      <c r="A44" s="247" t="inlineStr">
        <is>
          <t>NOTIONAL_BASIS</t>
        </is>
      </c>
      <c r="B44" s="259" t="inlineStr">
        <is>
          <t>SPREAD_VALUE</t>
        </is>
      </c>
      <c r="C44" s="236" t="inlineStr">
        <is>
          <t>SPREAD_VALUE</t>
        </is>
      </c>
      <c r="D44" s="236" t="inlineStr">
        <is>
          <t>text</t>
        </is>
      </c>
      <c r="E44" s="258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3">
      <c r="A45" s="247" t="inlineStr">
        <is>
          <t>TP_ENTRY_BASIS</t>
        </is>
      </c>
      <c r="B45" s="259" t="inlineStr">
        <is>
          <t>BID</t>
        </is>
      </c>
      <c r="C45" s="236" t="inlineStr">
        <is>
          <t>BID</t>
        </is>
      </c>
      <c r="D45" s="236" t="inlineStr">
        <is>
          <t>text</t>
        </is>
      </c>
      <c r="E45" s="258" t="inlineStr">
        <is>
          <t>Which price the take-profit is measured from. BID: always the bid, the price you sell at - exact for a High-to-Low trade, optimistic by the spread's own gap on a Low-to-High one. TOUCH: prices each direction at the side it really trades on (bid when selling, ask when buying).</t>
        </is>
      </c>
    </row>
    <row r="46" ht="15" customHeight="1" s="143">
      <c r="A46" s="247" t="inlineStr">
        <is>
          <t>TARGET_NET_USD</t>
        </is>
      </c>
      <c r="B46" s="257" t="n">
        <v>150</v>
      </c>
      <c r="C46" s="236" t="n">
        <v>150</v>
      </c>
      <c r="D46" s="236" t="inlineStr">
        <is>
          <t>USD</t>
        </is>
      </c>
      <c r="E46" s="258" t="inlineStr">
        <is>
          <t>Desired profit AFTER all costs. Used only when TP_MODE = TARGET_USD.</t>
        </is>
      </c>
    </row>
    <row r="47" ht="15" customHeight="1" s="143">
      <c r="A47" s="247" t="inlineStr">
        <is>
          <t>EDGE_MULTIPLE</t>
        </is>
      </c>
      <c r="B47" s="260" t="n">
        <v>1.5</v>
      </c>
      <c r="C47" s="261" t="n">
        <v>1.5</v>
      </c>
      <c r="D47" s="236" t="inlineStr">
        <is>
          <t>x</t>
        </is>
      </c>
      <c r="E47" s="258" t="inlineStr">
        <is>
          <t>Expected capture must clear the round trip by this multiple.</t>
        </is>
      </c>
    </row>
    <row r="48" ht="15" customHeight="1" s="143">
      <c r="A48" s="247" t="inlineStr">
        <is>
          <t>RATE_ORIENT_PER_SIDE</t>
        </is>
      </c>
      <c r="B48" s="260" t="n">
        <v>0.35</v>
      </c>
      <c r="C48" s="261" t="n">
        <v>0.35</v>
      </c>
      <c r="D48" s="236" t="inlineStr">
        <is>
          <t>USD</t>
        </is>
      </c>
      <c r="E48" s="258" t="inlineStr">
        <is>
          <t>Orient clearing + execution, per contract per side. Source: Orient rate card 2026-08-21, Ver.26.8.17.</t>
        </is>
      </c>
    </row>
    <row r="49" ht="15" customHeight="1" s="143">
      <c r="A49" s="247" t="inlineStr">
        <is>
          <t>RATE_FIX_PER_SIDE</t>
        </is>
      </c>
      <c r="B49" s="260" t="n">
        <v>0.06</v>
      </c>
      <c r="C49" s="261" t="n">
        <v>0.06</v>
      </c>
      <c r="D49" s="236" t="inlineStr">
        <is>
          <t>USD</t>
        </is>
      </c>
      <c r="E49" s="258" t="inlineStr">
        <is>
          <t>FIX / platform transaction fee, per contract per side. Same rate card.</t>
        </is>
      </c>
    </row>
    <row r="50" ht="15" customHeight="1" s="143">
      <c r="A50" s="247" t="inlineStr">
        <is>
          <t>RATE_CME_PER_SIDE</t>
        </is>
      </c>
      <c r="B50" s="260" t="n">
        <v>1.5</v>
      </c>
      <c r="C50" s="261" t="n">
        <v>1.5</v>
      </c>
      <c r="D50" s="236" t="inlineStr">
        <is>
          <t>USD</t>
        </is>
      </c>
      <c r="E50" s="258" t="inlineStr">
        <is>
          <t>CME exchange + clearing, per contract per side. Same rate card.</t>
        </is>
      </c>
    </row>
    <row r="51"/>
    <row r="52" ht="15" customHeight="1" s="143">
      <c r="A52" s="255" t="inlineStr">
        <is>
          <t>AUDIBLE ALERT</t>
        </is>
      </c>
      <c r="B52" s="255" t="n"/>
      <c r="C52" s="255" t="n"/>
      <c r="D52" s="255" t="n"/>
      <c r="E52" s="255" t="n"/>
    </row>
    <row r="53" ht="15" customHeight="1" s="143">
      <c r="A53" s="256" t="inlineStr">
        <is>
          <t>Parameter</t>
        </is>
      </c>
      <c r="B53" s="256" t="inlineStr">
        <is>
          <t>Value</t>
        </is>
      </c>
      <c r="C53" s="256" t="inlineStr">
        <is>
          <t>Default</t>
        </is>
      </c>
      <c r="D53" s="256" t="inlineStr">
        <is>
          <t>Units</t>
        </is>
      </c>
      <c r="E53" s="256" t="inlineStr">
        <is>
          <t>Meaning</t>
        </is>
      </c>
    </row>
    <row r="54" ht="15" customHeight="1" s="143">
      <c r="A54" s="247" t="inlineStr">
        <is>
          <t>ALERT_ENABLED</t>
        </is>
      </c>
      <c r="B54" s="257" t="b">
        <v>1</v>
      </c>
      <c r="C54" s="236" t="b">
        <v>1</v>
      </c>
      <c r="D54" s="236" t="inlineStr">
        <is>
          <t>bool</t>
        </is>
      </c>
      <c r="E54" s="258" t="inlineStr">
        <is>
          <t>MASTER MUTE. FALSE silences every sound.</t>
        </is>
      </c>
    </row>
    <row r="55" ht="15" customHeight="1" s="143">
      <c r="A55" s="247" t="inlineStr">
        <is>
          <t>ALERT_SOUND_PATH</t>
        </is>
      </c>
      <c r="B55" s="259" t="inlineStr">
        <is>
          <t>C:\Windows\Media\chimes.wav</t>
        </is>
      </c>
      <c r="C55" s="236" t="inlineStr">
        <is>
          <t>C:\Windows\Media\chimes.wav</t>
        </is>
      </c>
      <c r="D55" s="236" t="inlineStr">
        <is>
          <t>path</t>
        </is>
      </c>
      <c r="E55" s="258" t="inlineStr">
        <is>
          <t>Single short 'ting' played on an entry-band crossing.</t>
        </is>
      </c>
    </row>
    <row r="56" ht="15" customHeight="1" s="143">
      <c r="A56" s="247" t="inlineStr">
        <is>
          <t>ALERT_SOUND_PATH_CEILING</t>
        </is>
      </c>
      <c r="B56" s="259" t="inlineStr">
        <is>
          <t>C:\Windows\Media\notify.wav</t>
        </is>
      </c>
      <c r="C56" s="236" t="inlineStr">
        <is>
          <t>C:\Windows\Media\notify.wav</t>
        </is>
      </c>
      <c r="D56" s="236" t="inlineStr">
        <is>
          <t>path</t>
        </is>
      </c>
      <c r="E56" s="258" t="inlineStr">
        <is>
          <t>Distinct tone for crossing MAX_ENTRY_Z. That is 'stand down', not 'get in'.</t>
        </is>
      </c>
    </row>
    <row r="57" ht="15" customHeight="1" s="143">
      <c r="A57" s="247" t="inlineStr">
        <is>
          <t>ALERT_REARM_MARGIN</t>
        </is>
      </c>
      <c r="B57" s="260" t="n">
        <v>0.25</v>
      </c>
      <c r="C57" s="261" t="n">
        <v>0.25</v>
      </c>
      <c r="D57" s="236" t="inlineStr">
        <is>
          <t>z</t>
        </is>
      </c>
      <c r="E57" s="258" t="inlineStr">
        <is>
          <t>Hysteresis. Do not re-arm until |z| falls back below ENTRY_Z - this margin.</t>
        </is>
      </c>
    </row>
    <row r="58" ht="15" customHeight="1" s="143">
      <c r="A58" s="247" t="inlineStr">
        <is>
          <t>ALERT_COOLDOWN_SEC</t>
        </is>
      </c>
      <c r="B58" s="257" t="n">
        <v>60</v>
      </c>
      <c r="C58" s="236" t="n">
        <v>60</v>
      </c>
      <c r="D58" s="236" t="inlineStr">
        <is>
          <t>s</t>
        </is>
      </c>
      <c r="E58" s="258" t="inlineStr">
        <is>
          <t>Minimum seconds between alerts for the same spread.</t>
        </is>
      </c>
    </row>
    <row r="59" ht="15" customHeight="1" s="143">
      <c r="A59" s="247" t="inlineStr">
        <is>
          <t>ALERT_ONLY_IF_EDGE_PASSES</t>
        </is>
      </c>
      <c r="B59" s="257" t="b">
        <v>0</v>
      </c>
      <c r="C59" s="236" t="b">
        <v>0</v>
      </c>
      <c r="D59" s="236" t="inlineStr">
        <is>
          <t>bool</t>
        </is>
      </c>
      <c r="E59" s="258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60" ht="15" customHeight="1" s="143">
      <c r="A60" s="247" t="inlineStr">
        <is>
          <t>ALERT_SPEAK</t>
        </is>
      </c>
      <c r="B60" s="257" t="b">
        <v>0</v>
      </c>
      <c r="C60" s="236" t="b">
        <v>0</v>
      </c>
      <c r="D60" s="236" t="inlineStr">
        <is>
          <t>bool</t>
        </is>
      </c>
      <c r="E60" s="258" t="inlineStr">
        <is>
          <t>TRUE also speaks the spread name (Application.Speech). Useful when watching four at once.</t>
        </is>
      </c>
    </row>
    <row r="61"/>
    <row r="62" ht="15" customHeight="1" s="143">
      <c r="A62" s="255" t="inlineStr">
        <is>
          <t>PERSISTENCE  /  LOGGING</t>
        </is>
      </c>
      <c r="B62" s="255" t="n"/>
      <c r="C62" s="255" t="n"/>
      <c r="D62" s="255" t="n"/>
      <c r="E62" s="255" t="n"/>
    </row>
    <row r="63" ht="15" customHeight="1" s="143">
      <c r="A63" s="256" t="inlineStr">
        <is>
          <t>Parameter</t>
        </is>
      </c>
      <c r="B63" s="256" t="inlineStr">
        <is>
          <t>Value</t>
        </is>
      </c>
      <c r="C63" s="256" t="inlineStr">
        <is>
          <t>Default</t>
        </is>
      </c>
      <c r="D63" s="256" t="inlineStr">
        <is>
          <t>Units</t>
        </is>
      </c>
      <c r="E63" s="256" t="inlineStr">
        <is>
          <t>Meaning</t>
        </is>
      </c>
    </row>
    <row r="64" ht="15" customHeight="1" s="143">
      <c r="A64" s="247" t="inlineStr">
        <is>
          <t>WARM_START_ENABLED</t>
        </is>
      </c>
      <c r="B64" s="257" t="b">
        <v>1</v>
      </c>
      <c r="C64" s="236" t="b">
        <v>1</v>
      </c>
      <c r="D64" s="236" t="inlineStr">
        <is>
          <t>bool</t>
        </is>
      </c>
      <c r="E64" s="258" t="inlineStr">
        <is>
          <t>On open, reload the flushed buffer so a restart does not cost another two hours of warm-up.</t>
        </is>
      </c>
    </row>
    <row r="65" ht="15" customHeight="1" s="143">
      <c r="A65" s="247" t="inlineStr">
        <is>
          <t>WARM_START_MAX_AGE_MIN</t>
        </is>
      </c>
      <c r="B65" s="257" t="n">
        <v>180</v>
      </c>
      <c r="C65" s="236" t="n">
        <v>180</v>
      </c>
      <c r="D65" s="236" t="inlineStr">
        <is>
          <t>min</t>
        </is>
      </c>
      <c r="E65" s="258" t="inlineStr">
        <is>
          <t>Only reload if the newest saved sample is younger than this.</t>
        </is>
      </c>
    </row>
    <row r="66" ht="15" customHeight="1" s="143">
      <c r="A66" s="247" t="inlineStr">
        <is>
          <t>LOG_ENABLED</t>
        </is>
      </c>
      <c r="B66" s="257" t="b">
        <v>1</v>
      </c>
      <c r="C66" s="236" t="b">
        <v>1</v>
      </c>
      <c r="D66" s="236" t="inlineStr">
        <is>
          <t>bool</t>
        </is>
      </c>
      <c r="E66" s="258" t="inlineStr">
        <is>
          <t>Write signal events to the Log sheet.</t>
        </is>
      </c>
    </row>
    <row r="67" ht="15" customHeight="1" s="143">
      <c r="A67" s="247" t="inlineStr">
        <is>
          <t>LOG_MAX_ROWS</t>
        </is>
      </c>
      <c r="B67" s="257" t="n">
        <v>20000</v>
      </c>
      <c r="C67" s="236" t="n">
        <v>20000</v>
      </c>
      <c r="D67" s="236" t="inlineStr">
        <is>
          <t>rows</t>
        </is>
      </c>
      <c r="E67" s="258" t="inlineStr">
        <is>
          <t>Log is trimmed to this many rows.</t>
        </is>
      </c>
    </row>
    <row r="68"/>
    <row r="69" ht="15" customHeight="1" s="143">
      <c r="A69" s="255" t="inlineStr">
        <is>
          <t>DERIVED COMMISSION  (formulas - do not edit)</t>
        </is>
      </c>
      <c r="B69" s="262" t="n"/>
      <c r="C69" s="262" t="n"/>
      <c r="D69" s="262" t="n"/>
      <c r="E69" s="262" t="n"/>
    </row>
    <row r="70" ht="15" customHeight="1" s="143">
      <c r="A70" s="256" t="inlineStr">
        <is>
          <t>Parameter</t>
        </is>
      </c>
      <c r="B70" s="256" t="inlineStr">
        <is>
          <t>Value</t>
        </is>
      </c>
      <c r="C70" s="256" t="inlineStr">
        <is>
          <t>Default</t>
        </is>
      </c>
      <c r="D70" s="256" t="inlineStr">
        <is>
          <t>Units</t>
        </is>
      </c>
      <c r="E70" s="256" t="inlineStr">
        <is>
          <t>Meaning</t>
        </is>
      </c>
    </row>
    <row r="71" ht="15" customHeight="1" s="143">
      <c r="A71" s="247" t="inlineStr">
        <is>
          <t>COMMISSION_CONSERVATIVE</t>
        </is>
      </c>
      <c r="B71" s="248">
        <f>2*(B48+B49+B50)</f>
        <v/>
      </c>
      <c r="E71" s="263" t="inlineStr">
        <is>
          <t>Per lot PER LEG, round turn, reading CME's 1.50 as per SIDE. This is the conservative reading and the one to use.</t>
        </is>
      </c>
    </row>
    <row r="72" ht="15" customHeight="1" s="143">
      <c r="A72" s="247" t="inlineStr">
        <is>
          <t>COMMISSION_IF_CME_PER_RT</t>
        </is>
      </c>
      <c r="B72" s="244">
        <f>2*(B48+B49)+B50</f>
        <v/>
      </c>
      <c r="E72" s="263" t="inlineStr">
        <is>
          <t>The same figure if CME's 1.50 turns out to be per ROUND TURN rather than per side.</t>
        </is>
      </c>
    </row>
    <row r="73" ht="15" customHeight="1" s="143">
      <c r="A73" s="247" t="inlineStr">
        <is>
          <t>COMMISSION_BASIS</t>
        </is>
      </c>
      <c r="B73" s="257" t="inlineStr">
        <is>
          <t>CONSERVATIVE</t>
        </is>
      </c>
      <c r="C73" s="236" t="inlineStr">
        <is>
          <t>CONSERVATIVE</t>
        </is>
      </c>
      <c r="E73" s="263" t="inlineStr">
        <is>
          <t>CONSERVATIVE or CME_PER_RT. An understated cost model approves losing trades invisibly; an overstated one only refuses trades, visibly. Leave it on CONSERVATIVE.</t>
        </is>
      </c>
    </row>
    <row r="74" ht="15" customHeight="1" s="143">
      <c r="A74" s="247" t="inlineStr">
        <is>
          <t>COMMISSION_PER_LOT_ROUND_TURN</t>
        </is>
      </c>
      <c r="B74" s="248">
        <f>IF(B73="CME_PER_RT",B72,B71)</f>
        <v/>
      </c>
      <c r="E74" s="263" t="inlineStr">
        <is>
          <t>USD per lot per leg, round turn. This is what the cost model actually uses.</t>
        </is>
      </c>
    </row>
    <row r="75"/>
    <row r="76" ht="15" customHeight="1" s="143">
      <c r="A76" s="255" t="inlineStr">
        <is>
          <t>INSTRUMENTS   -   CONTRACT ROLL</t>
        </is>
      </c>
      <c r="B76" s="262" t="n"/>
      <c r="C76" s="262" t="n"/>
      <c r="D76" s="262" t="n"/>
      <c r="E76" s="262" t="n"/>
    </row>
    <row r="77" ht="15" customHeight="1" s="143">
      <c r="A77" s="254" t="inlineStr">
        <is>
          <t>These six cells are the ONLY place a TT short name appears. Every RTD call on the hidden Feed sheet reads them, and the Dashboard's own symbol column is written back from them, so the two can never disagree.</t>
        </is>
      </c>
    </row>
    <row r="78" ht="15" customHeight="1" s="143">
      <c r="A78" s="230" t="inlineStr">
        <is>
          <t>CME month codes:  F Jan  G Feb  H Mar  J Apr  K May  M Jun  N Jul  Q Aug  U Sep  V Oct  X Nov  Z Dec</t>
        </is>
      </c>
    </row>
    <row r="79" ht="15" customHeight="1" s="143">
      <c r="A79" s="252" t="inlineStr">
        <is>
          <t>Roll every leg of a spread together. A November Brent against an October WTI is a different instrument from the one whose mean and sigma you measured, and the window should be cleared when you change one.</t>
        </is>
      </c>
    </row>
    <row r="80" ht="15" customHeight="1" s="143">
      <c r="A80" s="256" t="inlineStr">
        <is>
          <t>Slot</t>
        </is>
      </c>
      <c r="B80" s="256" t="inlineStr">
        <is>
          <t>TT short name</t>
        </is>
      </c>
      <c r="C80" s="256" t="inlineStr">
        <is>
          <t>Instrument</t>
        </is>
      </c>
      <c r="D80" s="256" t="n"/>
      <c r="E80" s="256" t="inlineStr">
        <is>
          <t>Used as</t>
        </is>
      </c>
    </row>
    <row r="81" ht="15" customHeight="1" s="143">
      <c r="A81" s="249" t="inlineStr">
        <is>
          <t>INSTRUMENT_1</t>
        </is>
      </c>
      <c r="B81" s="259" t="inlineStr">
        <is>
          <t>RBV6</t>
        </is>
      </c>
      <c r="C81" s="235" t="inlineStr">
        <is>
          <t>RBOB Gasoline</t>
        </is>
      </c>
      <c r="E81" s="264" t="inlineStr">
        <is>
          <t>leg of the 3:2:1</t>
        </is>
      </c>
    </row>
    <row r="82" ht="15" customHeight="1" s="143">
      <c r="A82" s="249" t="inlineStr">
        <is>
          <t>INSTRUMENT_2</t>
        </is>
      </c>
      <c r="B82" s="259" t="inlineStr">
        <is>
          <t>HOV6</t>
        </is>
      </c>
      <c r="C82" s="235" t="inlineStr">
        <is>
          <t>NY Harbor ULSD</t>
        </is>
      </c>
      <c r="E82" s="264" t="inlineStr">
        <is>
          <t>leg of HO/CL and the 3:2:1</t>
        </is>
      </c>
    </row>
    <row r="83" ht="15" customHeight="1" s="143">
      <c r="A83" s="249" t="inlineStr">
        <is>
          <t>INSTRUMENT_3</t>
        </is>
      </c>
      <c r="B83" s="259" t="inlineStr">
        <is>
          <t>CLV6</t>
        </is>
      </c>
      <c r="C83" s="235" t="inlineStr">
        <is>
          <t>WTI Crude</t>
        </is>
      </c>
      <c r="E83" s="264" t="inlineStr">
        <is>
          <t>leg of every spread</t>
        </is>
      </c>
    </row>
    <row r="84" ht="15" customHeight="1" s="143">
      <c r="A84" s="249" t="inlineStr">
        <is>
          <t>INSTRUMENT_4</t>
        </is>
      </c>
      <c r="B84" s="259" t="inlineStr">
        <is>
          <t>BZV6</t>
        </is>
      </c>
      <c r="C84" s="235" t="inlineStr">
        <is>
          <t>Brent Last Day Financial</t>
        </is>
      </c>
      <c r="E84" s="264" t="inlineStr">
        <is>
          <t>leg B of BZ - CL</t>
        </is>
      </c>
    </row>
    <row r="85" ht="15" customHeight="1" s="143">
      <c r="A85" s="249" t="inlineStr">
        <is>
          <t>INSTRUMENT_5</t>
        </is>
      </c>
      <c r="B85" s="259" t="inlineStr">
        <is>
          <t>CL Oct26 - BZ Oct26 Inter-Product</t>
        </is>
      </c>
      <c r="C85" s="235" t="inlineStr">
        <is>
          <t>Exchange-listed inter-product</t>
        </is>
      </c>
      <c r="E85" s="264" t="inlineStr">
        <is>
          <t>listed comparison</t>
        </is>
      </c>
    </row>
    <row r="86" ht="15" customHeight="1" s="143">
      <c r="A86" s="249" t="inlineStr">
        <is>
          <t>INSTRUMENT_6</t>
        </is>
      </c>
      <c r="B86" s="259" t="inlineStr">
        <is>
          <t>Oct26 HO-CL Crack</t>
        </is>
      </c>
      <c r="C86" s="235" t="inlineStr">
        <is>
          <t>Exchange-listed crack</t>
        </is>
      </c>
      <c r="E86" s="264" t="inlineStr">
        <is>
          <t>listed comparison</t>
        </is>
      </c>
    </row>
    <row r="87"/>
    <row r="88"/>
    <row r="89" ht="15" customHeight="1" s="143">
      <c r="A89" s="255" t="inlineStr">
        <is>
          <t>SPREAD_TABLE_START   -   up to 4 monitored spreads, one buffer each</t>
        </is>
      </c>
      <c r="B89" s="262" t="n"/>
      <c r="C89" s="262" t="n"/>
      <c r="D89" s="262" t="n"/>
      <c r="E89" s="262" t="n"/>
      <c r="F89" s="262" t="n"/>
      <c r="G89" s="262" t="n"/>
      <c r="H89" s="262" t="n"/>
      <c r="I89" s="262" t="n"/>
      <c r="J89" s="262" t="n"/>
      <c r="K89" s="262" t="n"/>
    </row>
    <row r="90" ht="15" customHeight="1" s="143">
      <c r="A90" s="230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91" ht="32.8" customHeight="1" s="143">
      <c r="A91" s="256" t="inlineStr">
        <is>
          <t>Slot</t>
        </is>
      </c>
      <c r="B91" s="256" t="inlineStr">
        <is>
          <t>Enabled</t>
        </is>
      </c>
      <c r="C91" s="256" t="inlineStr">
        <is>
          <t>Display name</t>
        </is>
      </c>
      <c r="D91" s="256" t="inlineStr">
        <is>
          <t>Mode</t>
        </is>
      </c>
      <c r="E91" s="256" t="inlineStr">
        <is>
          <t>HEDGE_RATIO (beta)</t>
        </is>
      </c>
      <c r="F91" s="256" t="inlineStr">
        <is>
          <t>Beta stamped for pair</t>
        </is>
      </c>
      <c r="G91" s="256" t="inlineStr">
        <is>
          <t>USD per 1.00 of spread, per lot</t>
        </is>
      </c>
      <c r="H91" s="256" t="inlineStr">
        <is>
          <t>Contracts charged commission</t>
        </is>
      </c>
      <c r="I91" s="256" t="inlineStr">
        <is>
          <t>Tick size</t>
        </is>
      </c>
      <c r="J91" s="256" t="inlineStr">
        <is>
          <t>Decimals</t>
        </is>
      </c>
      <c r="K91" s="256" t="inlineStr">
        <is>
          <t>Listed equivalent (cost comparison)</t>
        </is>
      </c>
    </row>
    <row r="92" ht="15" customHeight="1" s="143">
      <c r="A92" s="249" t="inlineStr">
        <is>
          <t>SPREAD_1</t>
        </is>
      </c>
      <c r="B92" s="257" t="b">
        <v>1</v>
      </c>
      <c r="C92" s="259" t="inlineStr">
        <is>
          <t>BZ - CL  (Brent LDF - WTI)</t>
        </is>
      </c>
      <c r="D92" s="257" t="inlineStr">
        <is>
          <t>LEGGED</t>
        </is>
      </c>
      <c r="E92" s="265" t="n">
        <v>1</v>
      </c>
      <c r="F92" s="259" t="inlineStr">
        <is>
          <t>BZV6 / CLV6, derived 2026-08 (RELATED pair - no fair value, empirical mean only)</t>
        </is>
      </c>
      <c r="G92" s="266" t="n">
        <v>1000</v>
      </c>
      <c r="H92" s="267" t="n">
        <v>2</v>
      </c>
      <c r="I92" s="265" t="n">
        <v>0.01</v>
      </c>
      <c r="J92" s="267" t="n">
        <v>2</v>
      </c>
      <c r="K92" s="238" t="inlineStr">
        <is>
          <t>CL Oct26 - BZ Oct26 Inter-Product</t>
        </is>
      </c>
    </row>
    <row r="93" ht="15" customHeight="1" s="143">
      <c r="A93" s="249" t="inlineStr">
        <is>
          <t>SPREAD_2</t>
        </is>
      </c>
      <c r="B93" s="257" t="b">
        <v>1</v>
      </c>
      <c r="C93" s="259" t="inlineStr">
        <is>
          <t>HO/CL crack  (ULSD - WTI)</t>
        </is>
      </c>
      <c r="D93" s="257" t="inlineStr">
        <is>
          <t>LEGGED</t>
        </is>
      </c>
      <c r="E93" s="265" t="n">
        <v>1</v>
      </c>
      <c r="F93" s="259" t="inlineStr">
        <is>
          <t>HOV6 x42 / CLV6, 1:1 by design (crack, not a fitted beta)</t>
        </is>
      </c>
      <c r="G93" s="266" t="n">
        <v>1000</v>
      </c>
      <c r="H93" s="267" t="n">
        <v>2</v>
      </c>
      <c r="I93" s="265" t="n">
        <v>0.01</v>
      </c>
      <c r="J93" s="267" t="n">
        <v>2</v>
      </c>
      <c r="K93" s="238" t="inlineStr">
        <is>
          <t>Oct26 HO-CL Crack</t>
        </is>
      </c>
    </row>
    <row r="94" ht="15" customHeight="1" s="143">
      <c r="A94" s="249" t="inlineStr">
        <is>
          <t>SPREAD_3</t>
        </is>
      </c>
      <c r="B94" s="257" t="b">
        <v>1</v>
      </c>
      <c r="C94" s="259" t="inlineStr">
        <is>
          <t>3:2:1 crack  (2RB+1HO-3CL)/3</t>
        </is>
      </c>
      <c r="D94" s="257" t="inlineStr">
        <is>
          <t>LEGGED</t>
        </is>
      </c>
      <c r="E94" s="265" t="n">
        <v>1</v>
      </c>
      <c r="F94" s="259" t="inlineStr">
        <is>
          <t>RBV6/HOV6/CLV6, structural 3:2:1 - not a fitted beta</t>
        </is>
      </c>
      <c r="G94" s="266" t="n">
        <v>3000</v>
      </c>
      <c r="H94" s="267" t="n">
        <v>6</v>
      </c>
      <c r="I94" s="265" t="n">
        <v>0.01</v>
      </c>
      <c r="J94" s="267" t="n">
        <v>2</v>
      </c>
      <c r="K94" s="238" t="inlineStr">
        <is>
          <t>(none listed)</t>
        </is>
      </c>
    </row>
    <row r="95" ht="15" customHeight="1" s="143">
      <c r="A95" s="249" t="inlineStr">
        <is>
          <t>SPREAD_4</t>
        </is>
      </c>
      <c r="B95" s="257" t="b">
        <v>1</v>
      </c>
      <c r="C95" s="259" t="inlineStr">
        <is>
          <t>CL-BZ Inter-Product (listed)</t>
        </is>
      </c>
      <c r="D95" s="257" t="inlineStr">
        <is>
          <t>LISTED</t>
        </is>
      </c>
      <c r="E95" s="265" t="n">
        <v>1</v>
      </c>
      <c r="F95" s="259" t="inlineStr">
        <is>
          <t>Exchange-listed spread - beta not applicable</t>
        </is>
      </c>
      <c r="G95" s="266" t="n">
        <v>1000</v>
      </c>
      <c r="H95" s="267" t="n">
        <v>2</v>
      </c>
      <c r="I95" s="265" t="n">
        <v>0.01</v>
      </c>
      <c r="J95" s="267" t="n">
        <v>2</v>
      </c>
      <c r="K95" s="238" t="inlineStr">
        <is>
          <t>n/a - this IS the listed spread</t>
        </is>
      </c>
    </row>
    <row r="96"/>
    <row r="97" ht="15" customHeight="1" s="143">
      <c r="A97" s="252" t="inlineStr">
        <is>
          <t>HEDGE RATIO BELONGS TO THE PAIR. If the instruments change, beta must be re-derived - a stale beta silently redefines the series. Column F stamps what each beta was computed for.</t>
        </is>
      </c>
    </row>
    <row r="98" ht="15" customHeight="1" s="143">
      <c r="A98" s="230" t="inlineStr">
        <is>
          <t>Contracts charged: BZ-CL and the listed spread are 2 contracts per lot (one per leg); the 3:2:1 crack is 6 (2 RB + 1 HO + 3 CL).</t>
        </is>
      </c>
    </row>
    <row r="99" ht="15" customHeight="1" s="143">
      <c r="A99" s="230" t="inlineStr">
        <is>
          <t>USD per 1.00 of spread: NYMEX energy contracts are 1,000 bbl, so one cent of differential is $10 per leg per lot, i.e. $1,000 per 1.00.</t>
        </is>
      </c>
    </row>
    <row r="100"/>
    <row r="101" ht="15" customHeight="1" s="143">
      <c r="A101" s="252" t="inlineStr">
        <is>
          <t>NOTIONAL_BASIS - read this before changing it:</t>
        </is>
      </c>
    </row>
    <row r="102" ht="15" customHeight="1" s="143">
      <c r="A102" s="230" t="inlineStr">
        <is>
          <t>A spread is not an outright, so 'notional' has no single meaning. At 1 lot with CL near $60 and BZ-CL near $7.20:  SPREAD_VALUE ~ $7,200, ONE_LEG ~ $60,000, BOTH_LEGS ~ $127,000.</t>
        </is>
      </c>
    </row>
    <row r="103" ht="15" customHeight="1" s="143">
      <c r="A103" s="268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1" min="1" max="1"/>
    <col width="34" customWidth="1" style="141" min="2" max="2"/>
    <col width="13" customWidth="1" style="141" min="3" max="8"/>
    <col width="60" customWidth="1" style="141" min="9" max="9"/>
  </cols>
  <sheetData>
    <row r="1" ht="16.15" customHeight="1" s="143">
      <c r="A1" s="269" t="inlineStr">
        <is>
          <t>FEED  -  hidden.  Every RTD() formula lives here.</t>
        </is>
      </c>
    </row>
    <row r="2" ht="15" customHeight="1" s="143">
      <c r="A2" s="270" t="inlineStr">
        <is>
          <t>Market</t>
        </is>
      </c>
      <c r="B2" s="271">
        <f>Dashboard!$C$4</f>
        <v/>
      </c>
    </row>
    <row r="3" ht="15" customHeight="1" s="143">
      <c r="A3" s="252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3">
      <c r="A5" s="272" t="inlineStr">
        <is>
          <t>INSTRUMENTS</t>
        </is>
      </c>
      <c r="B5" s="232" t="inlineStr">
        <is>
          <t>Instrument ID</t>
        </is>
      </c>
      <c r="C5" s="232" t="inlineStr">
        <is>
          <t>Bid</t>
        </is>
      </c>
      <c r="D5" s="232" t="inlineStr">
        <is>
          <t>Ask</t>
        </is>
      </c>
      <c r="E5" s="232" t="inlineStr">
        <is>
          <t>High</t>
        </is>
      </c>
      <c r="F5" s="232" t="inlineStr">
        <is>
          <t>Low</t>
        </is>
      </c>
      <c r="G5" s="232" t="inlineStr">
        <is>
          <t>Mid</t>
        </is>
      </c>
      <c r="H5" s="232" t="inlineStr">
        <is>
          <t>Width</t>
        </is>
      </c>
    </row>
    <row r="6" ht="15" customHeight="1" s="143">
      <c r="A6" s="273">
        <f>Config!$B$81</f>
        <v/>
      </c>
      <c r="B6" s="274">
        <f>RTD("tt.rtd",,"Inst",$B$2,$A6)</f>
        <v/>
      </c>
      <c r="C6" s="274">
        <f>IFERROR(IF(OR($B6="",LEFT($B6,4)="Not_"),"",VALUE(RTD("tt.rtd",,$B6,"Bid"))),"")</f>
        <v/>
      </c>
      <c r="D6" s="274">
        <f>IFERROR(IF(OR($B6="",LEFT($B6,4)="Not_"),"",VALUE(RTD("tt.rtd",,$B6,"Ask"))),"")</f>
        <v/>
      </c>
      <c r="E6" s="274">
        <f>IFERROR(IF(OR($B6="",LEFT($B6,4)="Not_"),"",VALUE(RTD("tt.rtd",,$B6,"High"))),"")</f>
        <v/>
      </c>
      <c r="F6" s="274">
        <f>IFERROR(IF(OR($B6="",LEFT($B6,4)="Not_"),"",VALUE(RTD("tt.rtd",,$B6,"Low"))),"")</f>
        <v/>
      </c>
      <c r="G6" s="274">
        <f>IF(OR($C6="",$D6=""),"",($C6+$D6)/2)</f>
        <v/>
      </c>
      <c r="H6" s="274">
        <f>IF(OR($C6="",$D6=""),"",$D6-$C6)</f>
        <v/>
      </c>
      <c r="I6" s="264" t="inlineStr">
        <is>
          <t>RBOB Gasoline Oct26</t>
        </is>
      </c>
    </row>
    <row r="7" ht="15" customHeight="1" s="143">
      <c r="A7" s="273">
        <f>Config!$B$82</f>
        <v/>
      </c>
      <c r="B7" s="274">
        <f>RTD("tt.rtd",,"Inst",$B$2,$A7)</f>
        <v/>
      </c>
      <c r="C7" s="274">
        <f>IFERROR(IF(OR($B7="",LEFT($B7,4)="Not_"),"",VALUE(RTD("tt.rtd",,$B7,"Bid"))),"")</f>
        <v/>
      </c>
      <c r="D7" s="274">
        <f>IFERROR(IF(OR($B7="",LEFT($B7,4)="Not_"),"",VALUE(RTD("tt.rtd",,$B7,"Ask"))),"")</f>
        <v/>
      </c>
      <c r="E7" s="274">
        <f>IFERROR(IF(OR($B7="",LEFT($B7,4)="Not_"),"",VALUE(RTD("tt.rtd",,$B7,"High"))),"")</f>
        <v/>
      </c>
      <c r="F7" s="274">
        <f>IFERROR(IF(OR($B7="",LEFT($B7,4)="Not_"),"",VALUE(RTD("tt.rtd",,$B7,"Low"))),"")</f>
        <v/>
      </c>
      <c r="G7" s="274">
        <f>IF(OR($C7="",$D7=""),"",($C7+$D7)/2)</f>
        <v/>
      </c>
      <c r="H7" s="274">
        <f>IF(OR($C7="",$D7=""),"",$D7-$C7)</f>
        <v/>
      </c>
      <c r="I7" s="264" t="inlineStr">
        <is>
          <t>NY Harbor ULSD Oct26</t>
        </is>
      </c>
    </row>
    <row r="8" ht="15" customHeight="1" s="143">
      <c r="A8" s="273">
        <f>Config!$B$83</f>
        <v/>
      </c>
      <c r="B8" s="274">
        <f>RTD("tt.rtd",,"Inst",$B$2,$A8)</f>
        <v/>
      </c>
      <c r="C8" s="274">
        <f>IFERROR(IF(OR($B8="",LEFT($B8,4)="Not_"),"",VALUE(RTD("tt.rtd",,$B8,"Bid"))),"")</f>
        <v/>
      </c>
      <c r="D8" s="274">
        <f>IFERROR(IF(OR($B8="",LEFT($B8,4)="Not_"),"",VALUE(RTD("tt.rtd",,$B8,"Ask"))),"")</f>
        <v/>
      </c>
      <c r="E8" s="274">
        <f>IFERROR(IF(OR($B8="",LEFT($B8,4)="Not_"),"",VALUE(RTD("tt.rtd",,$B8,"High"))),"")</f>
        <v/>
      </c>
      <c r="F8" s="274">
        <f>IFERROR(IF(OR($B8="",LEFT($B8,4)="Not_"),"",VALUE(RTD("tt.rtd",,$B8,"Low"))),"")</f>
        <v/>
      </c>
      <c r="G8" s="274">
        <f>IF(OR($C8="",$D8=""),"",($C8+$D8)/2)</f>
        <v/>
      </c>
      <c r="H8" s="274">
        <f>IF(OR($C8="",$D8=""),"",$D8-$C8)</f>
        <v/>
      </c>
      <c r="I8" s="264" t="inlineStr">
        <is>
          <t>WTI Crude Oct26</t>
        </is>
      </c>
    </row>
    <row r="9" ht="15" customHeight="1" s="143">
      <c r="A9" s="273">
        <f>Config!$B$84</f>
        <v/>
      </c>
      <c r="B9" s="274">
        <f>RTD("tt.rtd",,"Inst",$B$2,$A9)</f>
        <v/>
      </c>
      <c r="C9" s="274">
        <f>IFERROR(IF(OR($B9="",LEFT($B9,4)="Not_"),"",VALUE(RTD("tt.rtd",,$B9,"Bid"))),"")</f>
        <v/>
      </c>
      <c r="D9" s="274">
        <f>IFERROR(IF(OR($B9="",LEFT($B9,4)="Not_"),"",VALUE(RTD("tt.rtd",,$B9,"Ask"))),"")</f>
        <v/>
      </c>
      <c r="E9" s="274">
        <f>IFERROR(IF(OR($B9="",LEFT($B9,4)="Not_"),"",VALUE(RTD("tt.rtd",,$B9,"High"))),"")</f>
        <v/>
      </c>
      <c r="F9" s="274">
        <f>IFERROR(IF(OR($B9="",LEFT($B9,4)="Not_"),"",VALUE(RTD("tt.rtd",,$B9,"Low"))),"")</f>
        <v/>
      </c>
      <c r="G9" s="274">
        <f>IF(OR($C9="",$D9=""),"",($C9+$D9)/2)</f>
        <v/>
      </c>
      <c r="H9" s="274">
        <f>IF(OR($C9="",$D9=""),"",$D9-$C9)</f>
        <v/>
      </c>
      <c r="I9" s="264" t="inlineStr">
        <is>
          <t>Brent Last Day Financial Oct26</t>
        </is>
      </c>
    </row>
    <row r="10" ht="15" customHeight="1" s="143">
      <c r="A10" s="273">
        <f>Config!$B$85</f>
        <v/>
      </c>
      <c r="B10" s="274">
        <f>RTD("tt.rtd",,"Inst",$B$2,$A10)</f>
        <v/>
      </c>
      <c r="C10" s="274">
        <f>IFERROR(IF(OR($B10="",LEFT($B10,4)="Not_"),"",VALUE(RTD("tt.rtd",,$B10,"Bid"))),"")</f>
        <v/>
      </c>
      <c r="D10" s="274">
        <f>IFERROR(IF(OR($B10="",LEFT($B10,4)="Not_"),"",VALUE(RTD("tt.rtd",,$B10,"Ask"))),"")</f>
        <v/>
      </c>
      <c r="E10" s="274">
        <f>IFERROR(IF(OR($B10="",LEFT($B10,4)="Not_"),"",VALUE(RTD("tt.rtd",,$B10,"High"))),"")</f>
        <v/>
      </c>
      <c r="F10" s="274">
        <f>IFERROR(IF(OR($B10="",LEFT($B10,4)="Not_"),"",VALUE(RTD("tt.rtd",,$B10,"Low"))),"")</f>
        <v/>
      </c>
      <c r="G10" s="274">
        <f>IF(OR($C10="",$D10=""),"",($C10+$D10)/2)</f>
        <v/>
      </c>
      <c r="H10" s="274">
        <f>IF(OR($C10="",$D10=""),"",$D10-$C10)</f>
        <v/>
      </c>
      <c r="I10" s="264" t="inlineStr">
        <is>
          <t>Exchange-listed inter-product spread</t>
        </is>
      </c>
    </row>
    <row r="11" ht="15" customHeight="1" s="143">
      <c r="A11" s="273">
        <f>Config!$B$86</f>
        <v/>
      </c>
      <c r="B11" s="274">
        <f>RTD("tt.rtd",,"Inst",$B$2,$A11)</f>
        <v/>
      </c>
      <c r="C11" s="274">
        <f>IFERROR(IF(OR($B11="",LEFT($B11,4)="Not_"),"",VALUE(RTD("tt.rtd",,$B11,"Bid"))),"")</f>
        <v/>
      </c>
      <c r="D11" s="274">
        <f>IFERROR(IF(OR($B11="",LEFT($B11,4)="Not_"),"",VALUE(RTD("tt.rtd",,$B11,"Ask"))),"")</f>
        <v/>
      </c>
      <c r="E11" s="274">
        <f>IFERROR(IF(OR($B11="",LEFT($B11,4)="Not_"),"",VALUE(RTD("tt.rtd",,$B11,"High"))),"")</f>
        <v/>
      </c>
      <c r="F11" s="274">
        <f>IFERROR(IF(OR($B11="",LEFT($B11,4)="Not_"),"",VALUE(RTD("tt.rtd",,$B11,"Low"))),"")</f>
        <v/>
      </c>
      <c r="G11" s="274">
        <f>IF(OR($C11="",$D11=""),"",($C11+$D11)/2)</f>
        <v/>
      </c>
      <c r="H11" s="274">
        <f>IF(OR($C11="",$D11=""),"",$D11-$C11)</f>
        <v/>
      </c>
      <c r="I11" s="264" t="inlineStr">
        <is>
          <t>Exchange-listed crack spread</t>
        </is>
      </c>
    </row>
    <row r="12"/>
    <row r="13"/>
    <row r="14"/>
    <row r="15" ht="15" customHeight="1" s="143">
      <c r="A15" s="272" t="inlineStr">
        <is>
          <t>DERIVED &amp; LISTED SPREADS (display)</t>
        </is>
      </c>
      <c r="B15" s="232" t="inlineStr">
        <is>
          <t>Basis</t>
        </is>
      </c>
      <c r="C15" s="232" t="inlineStr">
        <is>
          <t>Bid</t>
        </is>
      </c>
      <c r="D15" s="232" t="inlineStr">
        <is>
          <t>Ask</t>
        </is>
      </c>
      <c r="E15" s="232" t="inlineStr">
        <is>
          <t>Mid</t>
        </is>
      </c>
      <c r="F15" s="232" t="inlineStr">
        <is>
          <t>Width</t>
        </is>
      </c>
    </row>
    <row r="16" ht="15" customHeight="1" s="143">
      <c r="A16" s="233" t="inlineStr">
        <is>
          <t>BZ - CL</t>
        </is>
      </c>
      <c r="B16" s="240" t="inlineStr">
        <is>
          <t>legged</t>
        </is>
      </c>
      <c r="C16" s="274">
        <f>IF(OR($C$9="",$D$8=""),"",$C$9-$D$8)</f>
        <v/>
      </c>
      <c r="D16" s="274">
        <f>IF(OR($D$9="",$C$8=""),"",$D$9-$C$8)</f>
        <v/>
      </c>
      <c r="E16" s="274">
        <f>IF(OR($G$9="",$G$8=""),"",$G$9-$G$8)</f>
        <v/>
      </c>
      <c r="F16" s="274">
        <f>IF(OR($C16="",$D16=""),"",$D16-$C16)</f>
        <v/>
      </c>
    </row>
    <row r="17" ht="15" customHeight="1" s="143">
      <c r="A17" s="233" t="inlineStr">
        <is>
          <t>HO/CL crack</t>
        </is>
      </c>
      <c r="B17" s="240" t="inlineStr">
        <is>
          <t>legged</t>
        </is>
      </c>
      <c r="C17" s="274">
        <f>IF(OR($C$7="",$D$8=""),"",$C$7*42-$D$8)</f>
        <v/>
      </c>
      <c r="D17" s="274">
        <f>IF(OR($D$7="",$C$8=""),"",$D$7*42-$C$8)</f>
        <v/>
      </c>
      <c r="E17" s="274">
        <f>IF(OR($G$7="",$G$8=""),"",$G$7*42-$G$8)</f>
        <v/>
      </c>
      <c r="F17" s="274">
        <f>IF(OR($C17="",$D17=""),"",$D17-$C17)</f>
        <v/>
      </c>
    </row>
    <row r="18" ht="15" customHeight="1" s="143">
      <c r="A18" s="233" t="inlineStr">
        <is>
          <t>3:2:1 crack</t>
        </is>
      </c>
      <c r="B18" s="240" t="inlineStr">
        <is>
          <t>legged</t>
        </is>
      </c>
      <c r="C18" s="274">
        <f>IF(OR($C$6="",$C$7="",$D$8=""),"",(($C$6*2*42)+($C$7*1*42)-($D$8*3))/3)</f>
        <v/>
      </c>
      <c r="D18" s="274">
        <f>IF(OR($D$6="",$D$7="",$C$8=""),"",(($D$6*2*42)+($D$7*1*42)-($C$8*3))/3)</f>
        <v/>
      </c>
      <c r="E18" s="274">
        <f>IF(OR($G$6="",$G$7="",$G$8=""),"",(($G$6*2*42)+($G$7*1*42)-($G$8*3))/3)</f>
        <v/>
      </c>
      <c r="F18" s="274">
        <f>IF(OR($C18="",$D18=""),"",$D18-$C18)</f>
        <v/>
      </c>
    </row>
    <row r="19" ht="15" customHeight="1" s="143">
      <c r="A19" s="233" t="inlineStr">
        <is>
          <t>CL Oct26 - BZ Oct26 Inter-Product</t>
        </is>
      </c>
      <c r="B19" s="240" t="inlineStr">
        <is>
          <t>listed</t>
        </is>
      </c>
      <c r="C19" s="274">
        <f>$C$10</f>
        <v/>
      </c>
      <c r="D19" s="274">
        <f>$D$10</f>
        <v/>
      </c>
      <c r="E19" s="274">
        <f>$G$10</f>
        <v/>
      </c>
      <c r="F19" s="274">
        <f>IF(OR($C19="",$D19=""),"",$D19-$C19)</f>
        <v/>
      </c>
    </row>
    <row r="20" ht="15" customHeight="1" s="143">
      <c r="A20" s="233" t="inlineStr">
        <is>
          <t>Oct26 HO-CL Crack</t>
        </is>
      </c>
      <c r="B20" s="240" t="inlineStr">
        <is>
          <t>listed</t>
        </is>
      </c>
      <c r="C20" s="274">
        <f>$C$11</f>
        <v/>
      </c>
      <c r="D20" s="274">
        <f>$D$11</f>
        <v/>
      </c>
      <c r="E20" s="274">
        <f>$G$11</f>
        <v/>
      </c>
      <c r="F20" s="274">
        <f>IF(OR($C20="",$D20=""),"",$D20-$C20)</f>
        <v/>
      </c>
    </row>
    <row r="21"/>
    <row r="22"/>
    <row r="23" ht="15" customHeight="1" s="143">
      <c r="A23" s="275" t="inlineStr">
        <is>
          <t>MONITOR LEGS</t>
        </is>
      </c>
      <c r="B23" s="230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3">
      <c r="A24" s="232" t="inlineStr">
        <is>
          <t>Slot</t>
        </is>
      </c>
      <c r="B24" s="232" t="inlineStr">
        <is>
          <t>Side</t>
        </is>
      </c>
      <c r="C24" s="232" t="inlineStr">
        <is>
          <t>Composition</t>
        </is>
      </c>
      <c r="D24" s="232" t="inlineStr">
        <is>
          <t>Bid</t>
        </is>
      </c>
      <c r="E24" s="232" t="inlineStr">
        <is>
          <t>Ask</t>
        </is>
      </c>
      <c r="F24" s="232" t="inlineStr">
        <is>
          <t>Mid</t>
        </is>
      </c>
    </row>
    <row r="25" ht="15" customHeight="1" s="143">
      <c r="A25" s="276" t="n">
        <v>1</v>
      </c>
      <c r="B25" s="249" t="inlineStr">
        <is>
          <t>LegA</t>
        </is>
      </c>
      <c r="C25" s="277" t="inlineStr">
        <is>
          <t>CLV6</t>
        </is>
      </c>
      <c r="D25" s="274">
        <f>$C$8</f>
        <v/>
      </c>
      <c r="E25" s="274">
        <f>$D$8</f>
        <v/>
      </c>
      <c r="F25" s="274">
        <f>$G$8</f>
        <v/>
      </c>
    </row>
    <row r="26" ht="15" customHeight="1" s="143">
      <c r="A26" s="276" t="n">
        <v>1</v>
      </c>
      <c r="B26" s="249" t="inlineStr">
        <is>
          <t>LegB</t>
        </is>
      </c>
      <c r="C26" s="277" t="inlineStr">
        <is>
          <t>BZV6</t>
        </is>
      </c>
      <c r="D26" s="274">
        <f>$C$9</f>
        <v/>
      </c>
      <c r="E26" s="274">
        <f>$D$9</f>
        <v/>
      </c>
      <c r="F26" s="274">
        <f>$G$9</f>
        <v/>
      </c>
    </row>
    <row r="27" ht="15" customHeight="1" s="143">
      <c r="A27" s="276" t="n">
        <v>2</v>
      </c>
      <c r="B27" s="249" t="inlineStr">
        <is>
          <t>LegA</t>
        </is>
      </c>
      <c r="C27" s="277" t="inlineStr">
        <is>
          <t>CLV6</t>
        </is>
      </c>
      <c r="D27" s="274">
        <f>$C$8</f>
        <v/>
      </c>
      <c r="E27" s="274">
        <f>$D$8</f>
        <v/>
      </c>
      <c r="F27" s="274">
        <f>$G$8</f>
        <v/>
      </c>
    </row>
    <row r="28" ht="15" customHeight="1" s="143">
      <c r="A28" s="276" t="n">
        <v>2</v>
      </c>
      <c r="B28" s="249" t="inlineStr">
        <is>
          <t>LegB</t>
        </is>
      </c>
      <c r="C28" s="277" t="inlineStr">
        <is>
          <t>HOV6 x 42</t>
        </is>
      </c>
      <c r="D28" s="274">
        <f>IF($C$7="","",$C$7*42)</f>
        <v/>
      </c>
      <c r="E28" s="274">
        <f>IF($D$7="","",$D$7*42)</f>
        <v/>
      </c>
      <c r="F28" s="274">
        <f>IF($G$7="","",$G$7*42)</f>
        <v/>
      </c>
    </row>
    <row r="29" ht="15" customHeight="1" s="143">
      <c r="A29" s="276" t="n">
        <v>3</v>
      </c>
      <c r="B29" s="249" t="inlineStr">
        <is>
          <t>LegA</t>
        </is>
      </c>
      <c r="C29" s="277" t="inlineStr">
        <is>
          <t>CLV6</t>
        </is>
      </c>
      <c r="D29" s="274">
        <f>$C$8</f>
        <v/>
      </c>
      <c r="E29" s="274">
        <f>$D$8</f>
        <v/>
      </c>
      <c r="F29" s="274">
        <f>$G$8</f>
        <v/>
      </c>
    </row>
    <row r="30" ht="15" customHeight="1" s="143">
      <c r="A30" s="276" t="n">
        <v>3</v>
      </c>
      <c r="B30" s="249" t="inlineStr">
        <is>
          <t>LegB</t>
        </is>
      </c>
      <c r="C30" s="277" t="inlineStr">
        <is>
          <t>(2 x RBV6 + 1 x HOV6) x 42 / 3</t>
        </is>
      </c>
      <c r="D30" s="274">
        <f>IF(OR($C$6="",$C$7=""),"",($C$6*2*42+$C$7*1*42)/3)</f>
        <v/>
      </c>
      <c r="E30" s="274">
        <f>IF(OR($D$6="",$D$7=""),"",($D$6*2*42+$D$7*1*42)/3)</f>
        <v/>
      </c>
      <c r="F30" s="274">
        <f>IF(OR($G$6="",$G$7=""),"",($G$6*2*42+$G$7*1*42)/3)</f>
        <v/>
      </c>
    </row>
    <row r="31" ht="15" customHeight="1" s="143">
      <c r="A31" s="276" t="n">
        <v>4</v>
      </c>
      <c r="B31" s="249" t="inlineStr">
        <is>
          <t>LegA</t>
        </is>
      </c>
      <c r="C31" s="277" t="inlineStr">
        <is>
          <t>(none - LISTED spread)</t>
        </is>
      </c>
      <c r="D31" s="274" t="inlineStr"/>
      <c r="E31" s="274" t="inlineStr"/>
      <c r="F31" s="274" t="inlineStr"/>
    </row>
    <row r="32" ht="15" customHeight="1" s="143">
      <c r="A32" s="276" t="n">
        <v>4</v>
      </c>
      <c r="B32" s="249" t="inlineStr">
        <is>
          <t>LegB</t>
        </is>
      </c>
      <c r="C32" s="277" t="inlineStr">
        <is>
          <t>CL Oct26 - BZ Oct26 Inter-Product</t>
        </is>
      </c>
      <c r="D32" s="274">
        <f>$C$10</f>
        <v/>
      </c>
      <c r="E32" s="274">
        <f>$D$10</f>
        <v/>
      </c>
      <c r="F32" s="274">
        <f>$G$10</f>
        <v/>
      </c>
    </row>
    <row r="33"/>
    <row r="34" ht="15" customHeight="1" s="143">
      <c r="A34" s="275" t="inlineStr">
        <is>
          <t>LISTED-EQUIVALENT ROW PER SLOT  (for the side-by-side crossing-cost comparison)</t>
        </is>
      </c>
    </row>
    <row r="35" ht="15" customHeight="1" s="143">
      <c r="A35" s="232" t="inlineStr">
        <is>
          <t>Slot</t>
        </is>
      </c>
      <c r="B35" s="232" t="inlineStr">
        <is>
          <t>Feed derived row</t>
        </is>
      </c>
      <c r="C35" s="232" t="inlineStr">
        <is>
          <t>Name</t>
        </is>
      </c>
    </row>
    <row r="36" ht="15" customHeight="1" s="143">
      <c r="A36" s="276" t="n">
        <v>1</v>
      </c>
      <c r="B36" s="276" t="n">
        <v>19</v>
      </c>
      <c r="C36" s="277" t="inlineStr">
        <is>
          <t>CL Oct26 - BZ Oct26 Inter-Product</t>
        </is>
      </c>
    </row>
    <row r="37" ht="15" customHeight="1" s="143">
      <c r="A37" s="276" t="n">
        <v>2</v>
      </c>
      <c r="B37" s="276" t="n">
        <v>20</v>
      </c>
      <c r="C37" s="277" t="inlineStr">
        <is>
          <t>Oct26 HO-CL Crack</t>
        </is>
      </c>
    </row>
    <row r="38" ht="15" customHeight="1" s="143">
      <c r="A38" s="276" t="n">
        <v>3</v>
      </c>
      <c r="B38" s="276" t="n"/>
      <c r="C38" s="277" t="inlineStr">
        <is>
          <t>(none)</t>
        </is>
      </c>
    </row>
    <row r="39" ht="15" customHeight="1" s="143">
      <c r="A39" s="276" t="n">
        <v>4</v>
      </c>
      <c r="B39" s="276" t="n">
        <v>19</v>
      </c>
      <c r="C39" s="277" t="inlineStr">
        <is>
          <t>CL Oct26 - BZ Oct26 Inter-Product</t>
        </is>
      </c>
    </row>
    <row r="40"/>
    <row r="41" ht="15" customHeight="1" s="143">
      <c r="A41" s="230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3">
      <c r="A42" s="230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1" min="1" max="2"/>
    <col width="3" customWidth="1" style="141" min="3" max="3"/>
    <col width="15" customWidth="1" style="141" min="4" max="5"/>
    <col width="3" customWidth="1" style="141" min="6" max="6"/>
    <col width="15" customWidth="1" style="141" min="7" max="8"/>
    <col width="3" customWidth="1" style="141" min="9" max="9"/>
    <col width="15" customWidth="1" style="141" min="10" max="11"/>
    <col width="26" customWidth="1" style="141" min="13" max="13"/>
    <col width="30" customWidth="1" style="141" min="14" max="14"/>
  </cols>
  <sheetData>
    <row r="1" ht="15" customHeight="1" s="143">
      <c r="A1" s="278" t="inlineStr">
        <is>
          <t>BUFFER  -  hidden.  Flushed circular buffers (crash / restart recovery).</t>
        </is>
      </c>
      <c r="M1" s="230" t="inlineStr">
        <is>
          <t>Written by VBA every FLUSH_SEC seconds, so a crash loses at most a minute.</t>
        </is>
      </c>
    </row>
    <row r="2" ht="15" customHeight="1" s="143">
      <c r="M2" s="230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3">
      <c r="A3" s="275" t="inlineStr">
        <is>
          <t>SLOT 1</t>
        </is>
      </c>
      <c r="D3" s="275" t="inlineStr">
        <is>
          <t>SLOT 2</t>
        </is>
      </c>
      <c r="G3" s="275" t="inlineStr">
        <is>
          <t>SLOT 3</t>
        </is>
      </c>
      <c r="J3" s="275" t="inlineStr">
        <is>
          <t>SLOT 4</t>
        </is>
      </c>
      <c r="M3" s="230" t="inlineStr">
        <is>
          <t>Elapsed collection is credited from the OLDEST recovered sample - otherwise every restart costs another two hours before a usable z.</t>
        </is>
      </c>
    </row>
    <row r="4" ht="15" customHeight="1" s="143">
      <c r="A4" s="264" t="inlineStr">
        <is>
          <t>Name</t>
        </is>
      </c>
      <c r="B4" s="274" t="n"/>
      <c r="D4" s="264" t="inlineStr">
        <is>
          <t>Name</t>
        </is>
      </c>
      <c r="E4" s="274" t="n"/>
      <c r="G4" s="264" t="inlineStr">
        <is>
          <t>Name</t>
        </is>
      </c>
      <c r="H4" s="274" t="n"/>
      <c r="J4" s="264" t="inlineStr">
        <is>
          <t>Name</t>
        </is>
      </c>
      <c r="K4" s="274" t="n"/>
      <c r="M4" s="230" t="inlineStr">
        <is>
          <t>Seeding drops CONSECUTIVE identical values only. A spread genuinely revisiting a level is a real observation, not a duplicate.</t>
        </is>
      </c>
    </row>
    <row r="5" ht="15" customHeight="1" s="143">
      <c r="A5" s="264" t="inlineStr">
        <is>
          <t>Legs</t>
        </is>
      </c>
      <c r="B5" s="274" t="n"/>
      <c r="D5" s="264" t="inlineStr">
        <is>
          <t>Legs</t>
        </is>
      </c>
      <c r="E5" s="274" t="n"/>
      <c r="G5" s="264" t="inlineStr">
        <is>
          <t>Legs</t>
        </is>
      </c>
      <c r="H5" s="274" t="n"/>
      <c r="J5" s="264" t="inlineStr">
        <is>
          <t>Legs</t>
        </is>
      </c>
      <c r="K5" s="274" t="n"/>
    </row>
    <row r="6" ht="15" customHeight="1" s="143">
      <c r="A6" s="264" t="inlineStr">
        <is>
          <t>HEDGE_RATIO</t>
        </is>
      </c>
      <c r="B6" s="274" t="n"/>
      <c r="D6" s="264" t="inlineStr">
        <is>
          <t>HEDGE_RATIO</t>
        </is>
      </c>
      <c r="E6" s="274" t="n"/>
      <c r="G6" s="264" t="inlineStr">
        <is>
          <t>HEDGE_RATIO</t>
        </is>
      </c>
      <c r="H6" s="274" t="n"/>
      <c r="J6" s="264" t="inlineStr">
        <is>
          <t>HEDGE_RATIO</t>
        </is>
      </c>
      <c r="K6" s="274" t="n"/>
    </row>
    <row r="7" ht="15" customHeight="1" s="143">
      <c r="A7" s="264" t="inlineStr">
        <is>
          <t>LOOKBACK_MIN</t>
        </is>
      </c>
      <c r="B7" s="274" t="n"/>
      <c r="D7" s="264" t="inlineStr">
        <is>
          <t>LOOKBACK_MIN</t>
        </is>
      </c>
      <c r="E7" s="274" t="n"/>
      <c r="G7" s="264" t="inlineStr">
        <is>
          <t>LOOKBACK_MIN</t>
        </is>
      </c>
      <c r="H7" s="274" t="n"/>
      <c r="J7" s="264" t="inlineStr">
        <is>
          <t>LOOKBACK_MIN</t>
        </is>
      </c>
      <c r="K7" s="274" t="n"/>
    </row>
    <row r="8" ht="15" customHeight="1" s="143">
      <c r="A8" s="264" t="inlineStr">
        <is>
          <t>Count / last flush</t>
        </is>
      </c>
      <c r="B8" s="274" t="n"/>
      <c r="D8" s="264" t="inlineStr">
        <is>
          <t>Count / last flush</t>
        </is>
      </c>
      <c r="E8" s="274" t="n"/>
      <c r="G8" s="264" t="inlineStr">
        <is>
          <t>Count / last flush</t>
        </is>
      </c>
      <c r="H8" s="274" t="n"/>
      <c r="J8" s="264" t="inlineStr">
        <is>
          <t>Count / last flush</t>
        </is>
      </c>
      <c r="K8" s="274" t="n"/>
    </row>
    <row r="9" ht="15" customHeight="1" s="143">
      <c r="A9" s="232" t="inlineStr">
        <is>
          <t>Time (serial)</t>
        </is>
      </c>
      <c r="B9" s="232" t="inlineStr">
        <is>
          <t>Spread value</t>
        </is>
      </c>
      <c r="D9" s="232" t="inlineStr">
        <is>
          <t>Time (serial)</t>
        </is>
      </c>
      <c r="E9" s="232" t="inlineStr">
        <is>
          <t>Spread value</t>
        </is>
      </c>
      <c r="G9" s="232" t="inlineStr">
        <is>
          <t>Time (serial)</t>
        </is>
      </c>
      <c r="H9" s="232" t="inlineStr">
        <is>
          <t>Spread value</t>
        </is>
      </c>
      <c r="J9" s="232" t="inlineStr">
        <is>
          <t>Time (serial)</t>
        </is>
      </c>
      <c r="K9" s="232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1" min="1" max="1"/>
    <col width="30" customWidth="1" style="141" min="2" max="2"/>
    <col width="20" customWidth="1" style="141" min="3" max="3"/>
    <col width="9" customWidth="1" style="141" min="4" max="4"/>
    <col width="12" customWidth="1" style="141" min="5" max="9"/>
    <col width="16" customWidth="1" style="141" min="10" max="10"/>
    <col width="10" customWidth="1" style="141" min="11" max="11"/>
    <col width="60" customWidth="1" style="141" min="12" max="12"/>
  </cols>
  <sheetData>
    <row r="1" ht="15" customHeight="1" s="143">
      <c r="A1" s="278" t="inlineStr">
        <is>
          <t>LOG  -  timestamped signal events</t>
        </is>
      </c>
    </row>
    <row r="2" ht="15" customHeight="1" s="143">
      <c r="A2" s="230" t="inlineStr">
        <is>
          <t>One line when a state STARTS and one when it CLEARS - never one per poll. Reviewable after the session.</t>
        </is>
      </c>
    </row>
    <row r="3" ht="15" customHeight="1" s="143">
      <c r="A3" s="232" t="inlineStr">
        <is>
          <t>Time</t>
        </is>
      </c>
      <c r="B3" s="232" t="inlineStr">
        <is>
          <t>Spread</t>
        </is>
      </c>
      <c r="C3" s="232" t="inlineStr">
        <is>
          <t>Event</t>
        </is>
      </c>
      <c r="D3" s="232" t="inlineStr">
        <is>
          <t>z</t>
        </is>
      </c>
      <c r="E3" s="232" t="inlineStr">
        <is>
          <t>Mean</t>
        </is>
      </c>
      <c r="F3" s="232" t="inlineStr">
        <is>
          <t>Sigma</t>
        </is>
      </c>
      <c r="G3" s="232" t="inlineStr">
        <is>
          <t>Spread</t>
        </is>
      </c>
      <c r="H3" s="232" t="inlineStr">
        <is>
          <t>Bid</t>
        </is>
      </c>
      <c r="I3" s="232" t="inlineStr">
        <is>
          <t>Ask</t>
        </is>
      </c>
      <c r="J3" s="232" t="inlineStr">
        <is>
          <t>Signal</t>
        </is>
      </c>
      <c r="K3" s="232" t="inlineStr">
        <is>
          <t>Edge</t>
        </is>
      </c>
      <c r="L3" s="232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1" min="1" max="1"/>
    <col width="46" customWidth="1" style="141" min="2" max="2"/>
    <col width="16" customWidth="1" style="141" min="3" max="6"/>
    <col width="60" customWidth="1" style="141" min="7" max="7"/>
  </cols>
  <sheetData>
    <row r="1" ht="19.7" customHeight="1" s="143">
      <c r="B1" s="253" t="inlineStr">
        <is>
          <t>SETUP  -  turning this .xlsx into the working .xlsm</t>
        </is>
      </c>
    </row>
    <row r="2"/>
    <row r="3" ht="30" customHeight="1" s="143">
      <c r="B3" s="279" t="inlineStr">
        <is>
          <t>openpyxl cannot author VBA, so this file ships as an .xlsx carrying all structure and formatting, plus a .bas module to import. Six steps, once.</t>
        </is>
      </c>
    </row>
    <row r="4" ht="15" customHeight="1" s="143">
      <c r="B4" s="280" t="inlineStr">
        <is>
          <t>1.  Open TT_ZScore_Monitor.xlsx in Excel on the machine running TT and the TT RTD server.</t>
        </is>
      </c>
    </row>
    <row r="5" ht="15" customHeight="1" s="143">
      <c r="B5" s="280" t="inlineStr">
        <is>
          <t>2.  File &gt; Save As &gt; Excel Macro-Enabled Workbook (.xlsm). Keep the same folder.</t>
        </is>
      </c>
    </row>
    <row r="6" ht="15" customHeight="1" s="143">
      <c r="B6" s="280" t="inlineStr">
        <is>
          <t>3.  Alt+F11 to open the VBA editor.  File &gt; Import File...  and choose TTZMonitor.bas.</t>
        </is>
      </c>
    </row>
    <row r="7" ht="30" customHeight="1" s="143">
      <c r="B7" s="280" t="inlineStr">
        <is>
          <t>4.  In the editor, double-click ThisWorkbook, clear the pane with Ctrl+A then Delete, and paste the contents of ThisWorkbook.txt verbatim. Do NOT copy it out of TTZMonitor.bas - the copy there is inside a comment block, and pasting it with the apostrophes attached gives 'Compile error: Expected End Sub'.</t>
        </is>
      </c>
    </row>
    <row r="8" ht="30" customHeight="1" s="143">
      <c r="B8" s="280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3">
      <c r="B9" s="280" t="inlineStr">
        <is>
          <t>6.  Save. Click START. The Feed sheet stays hidden; you never need to look at it.</t>
        </is>
      </c>
    </row>
    <row r="10" ht="30" customHeight="1" s="143">
      <c r="B10" s="279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3">
      <c r="B12" s="231" t="inlineStr">
        <is>
          <t>WHAT TO CHECK ON THE FIRST RUN</t>
        </is>
      </c>
    </row>
    <row r="13" ht="25.5" customHeight="1" s="143">
      <c r="B13" s="281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3">
      <c r="B14" s="281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3">
      <c r="B15" s="281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3">
      <c r="B16" s="281" t="inlineStr">
        <is>
          <t>-  Warm-up takes MIN_HISTORY_MIN (default 120) minutes on a cold start. That is deliberate.</t>
        </is>
      </c>
    </row>
    <row r="17" ht="25.5" customHeight="1" s="143">
      <c r="B17" s="281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3">
      <c r="B18" s="281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3">
      <c r="B20" s="231" t="inlineStr">
        <is>
          <t>WHAT SIGMA THIS SPREAD MUST HAVE TO BE WORTH TRADING</t>
        </is>
      </c>
    </row>
    <row r="21" ht="15" customHeight="1" s="143">
      <c r="B21" s="230" t="inlineStr">
        <is>
          <t>Live off Config. Edit the two assumed market widths below; everything else follows.</t>
        </is>
      </c>
    </row>
    <row r="22" ht="15" customHeight="1" s="143">
      <c r="B22" s="263" t="inlineStr">
        <is>
          <t>Assumed width, each outright leg (spread units)</t>
        </is>
      </c>
      <c r="C22" s="265" t="n">
        <v>0.02</v>
      </c>
      <c r="E22" s="263" t="inlineStr">
        <is>
          <t>Assumed width, listed spread (spread units)</t>
        </is>
      </c>
      <c r="F22" s="265" t="n">
        <v>0.02</v>
      </c>
    </row>
    <row r="23"/>
    <row r="24" ht="22.35" customHeight="1" s="143">
      <c r="B24" s="232" t="inlineStr">
        <is>
          <t>At LOTS from Config, per leg</t>
        </is>
      </c>
      <c r="C24" s="232" t="inlineStr">
        <is>
          <t>Total cost</t>
        </is>
      </c>
      <c r="D24" s="232" t="inlineStr">
        <is>
          <t>min sigma @ z = 3.0</t>
        </is>
      </c>
      <c r="E24" s="232" t="inlineStr">
        <is>
          <t>min sigma @ z = 2.5</t>
        </is>
      </c>
      <c r="F24" s="232" t="inlineStr">
        <is>
          <t>min sigma @ live ENTRY_Z</t>
        </is>
      </c>
    </row>
    <row r="25" ht="15" customHeight="1" s="143">
      <c r="B25" s="270" t="inlineStr">
        <is>
          <t>Legging the outrights</t>
        </is>
      </c>
      <c r="C25" s="282">
        <f>2*Config!$B$74*Config!$B$41+(2*$C$22)*1000*Config!$B$41</f>
        <v/>
      </c>
      <c r="D25" s="283">
        <f>Config!$B$47*$C$25/(0.5*3*1000*Config!$B$41)</f>
        <v/>
      </c>
      <c r="E25" s="283">
        <f>Config!$B$47*$C$25/(0.5*2.5*1000*Config!$B$41)</f>
        <v/>
      </c>
      <c r="F25" s="283">
        <f>Config!$B$47*$C$25/(0.5*Config!$B$34*1000*Config!$B$41)</f>
        <v/>
      </c>
    </row>
    <row r="26" ht="15" customHeight="1" s="143">
      <c r="B26" s="270" t="inlineStr">
        <is>
          <t>Listed inter-product spread</t>
        </is>
      </c>
      <c r="C26" s="282">
        <f>2*Config!$B$74*Config!$B$41+$F$22*1000*Config!$B$41</f>
        <v/>
      </c>
      <c r="D26" s="283">
        <f>Config!$B$47*$C$26/(0.5*3*1000*Config!$B$41)</f>
        <v/>
      </c>
      <c r="E26" s="283">
        <f>Config!$B$47*$C$26/(0.5*2.5*1000*Config!$B$41)</f>
        <v/>
      </c>
      <c r="F26" s="283">
        <f>Config!$B$47*$C$26/(0.5*Config!$B$34*1000*Config!$B$41)</f>
        <v/>
      </c>
    </row>
    <row r="27"/>
    <row r="28" ht="15" customHeight="1" s="143">
      <c r="B28" s="230" t="inlineStr">
        <is>
          <t>capture = 0.5 x |z| x sigma x USD-per-point x LOTS.  An entry passes when capture &gt;= EDGE_MULTIPLE x total cost.</t>
        </is>
      </c>
    </row>
    <row r="29" ht="15" customHeight="1" s="143">
      <c r="B29" s="252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3">
      <c r="B31" s="231" t="inlineStr">
        <is>
          <t>ASSUMPTIONS MADE WHILE BUILDING THIS - CHECK THEM</t>
        </is>
      </c>
    </row>
    <row r="32" ht="39.75" customHeight="1" s="143">
      <c r="B32" s="281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3">
      <c r="B33" s="281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3">
      <c r="B34" s="281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3">
      <c r="B35" s="281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3">
      <c r="B36" s="281" t="inlineStr">
        <is>
          <t>-  Slot 3 (3:2:1) has no exchange-listed equivalent, so its LISTED crossing-cost column reads n/a.</t>
        </is>
      </c>
    </row>
    <row r="37" ht="39.75" customHeight="1" s="143">
      <c r="B37" s="281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3">
      <c r="B38" s="281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3">
      <c r="B39" s="281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2026-09-08T19:51:29Z</dcterms:modified>
  <cp:lastModifiedBy>USER</cp:lastModifiedBy>
  <cp:revision>0</cp:revision>
</cp:coreProperties>
</file>