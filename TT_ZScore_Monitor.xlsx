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Config" sheetId="2" state="visible" r:id="rId2"/>
    <sheet name="Feed" sheetId="3" state="hidden" r:id="rId3"/>
    <sheet name="Buffer" sheetId="4" state="hidden" r:id="rId4"/>
    <sheet name="Log" sheetId="5" state="visible" r:id="rId5"/>
    <sheet name="Setup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\$#,##0.00;&quot;($&quot;#,##0.00\);\-"/>
    <numFmt numFmtId="166" formatCode="0.0"/>
    <numFmt numFmtId="167" formatCode="0.0000"/>
    <numFmt numFmtId="168" formatCode="\$#,##0.00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E7E6E6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7E6E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0" fontId="8" fillId="0" borderId="2" applyAlignment="1" pivotButton="0" quotePrefix="0" xfId="0">
      <alignment horizontal="left" vertical="bottom"/>
    </xf>
    <xf numFmtId="0" fontId="7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center" vertical="bottom"/>
    </xf>
    <xf numFmtId="0" fontId="10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12" fillId="0" borderId="1" applyAlignment="1" pivotButton="0" quotePrefix="0" xfId="0">
      <alignment horizontal="left" vertical="bottom"/>
    </xf>
    <xf numFmtId="0" fontId="13" fillId="0" borderId="1" applyAlignment="1" pivotButton="0" quotePrefix="0" xfId="0">
      <alignment horizontal="left" vertical="bottom"/>
    </xf>
    <xf numFmtId="0" fontId="14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center" vertical="bottom"/>
    </xf>
    <xf numFmtId="1" fontId="8" fillId="0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center" vertical="bottom"/>
    </xf>
    <xf numFmtId="0" fontId="17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2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center" vertical="bottom"/>
    </xf>
    <xf numFmtId="2" fontId="7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0" fontId="17" fillId="7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left" vertical="bottom"/>
    </xf>
    <xf numFmtId="2" fontId="9" fillId="5" borderId="1" applyAlignment="1" pivotButton="0" quotePrefix="0" xfId="0">
      <alignment horizontal="center" vertical="bottom"/>
    </xf>
    <xf numFmtId="2" fontId="14" fillId="0" borderId="1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7" fontId="9" fillId="5" borderId="1" applyAlignment="1" pivotButton="0" quotePrefix="0" xfId="0">
      <alignment horizontal="center" vertical="bottom"/>
    </xf>
    <xf numFmtId="3" fontId="9" fillId="5" borderId="1" applyAlignment="1" pivotButton="0" quotePrefix="0" xfId="0">
      <alignment horizontal="center" vertical="bottom"/>
    </xf>
    <xf numFmtId="1" fontId="9" fillId="5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168" fontId="8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0" fontId="8" fillId="0" borderId="2" applyAlignment="1" pivotButton="0" quotePrefix="0" xfId="0">
      <alignment horizontal="left" vertical="bottom"/>
    </xf>
    <xf numFmtId="0" fontId="0" fillId="0" borderId="4" pivotButton="0" quotePrefix="0" xfId="0"/>
    <xf numFmtId="0" fontId="7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center" vertical="bottom"/>
    </xf>
    <xf numFmtId="0" fontId="10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12" fillId="0" borderId="1" applyAlignment="1" pivotButton="0" quotePrefix="0" xfId="0">
      <alignment horizontal="left" vertical="bottom"/>
    </xf>
    <xf numFmtId="0" fontId="13" fillId="0" borderId="1" applyAlignment="1" pivotButton="0" quotePrefix="0" xfId="0">
      <alignment horizontal="left" vertical="bottom"/>
    </xf>
    <xf numFmtId="0" fontId="14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center" vertical="bottom"/>
    </xf>
    <xf numFmtId="1" fontId="8" fillId="0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center" vertical="bottom"/>
    </xf>
    <xf numFmtId="0" fontId="17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2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center" vertical="bottom"/>
    </xf>
    <xf numFmtId="2" fontId="7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0" fontId="17" fillId="7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left" vertical="bottom"/>
    </xf>
    <xf numFmtId="2" fontId="9" fillId="5" borderId="1" applyAlignment="1" pivotButton="0" quotePrefix="0" xfId="0">
      <alignment horizontal="center" vertical="bottom"/>
    </xf>
    <xf numFmtId="2" fontId="14" fillId="0" borderId="1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7" fontId="9" fillId="5" borderId="1" applyAlignment="1" pivotButton="0" quotePrefix="0" xfId="0">
      <alignment horizontal="center" vertical="bottom"/>
    </xf>
    <xf numFmtId="3" fontId="9" fillId="5" borderId="1" applyAlignment="1" pivotButton="0" quotePrefix="0" xfId="0">
      <alignment horizontal="center" vertical="bottom"/>
    </xf>
    <xf numFmtId="1" fontId="9" fillId="5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6" fillId="0" borderId="0" pivotButton="0" quotePrefix="0" xfId="0"/>
    <xf numFmtId="0" fontId="10" fillId="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168" fontId="8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Q8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64" min="1" max="1"/>
    <col width="32" customWidth="1" style="64" min="2" max="2"/>
    <col width="18" customWidth="1" style="64" min="3" max="7"/>
    <col width="12" customWidth="1" style="64" min="8" max="13"/>
    <col width="17" customWidth="1" style="64" min="14" max="14"/>
    <col width="12" customWidth="1" style="64" min="15" max="17"/>
  </cols>
  <sheetData>
    <row r="1" ht="19.7" customHeight="1" s="65">
      <c r="B1" s="66" t="inlineStr">
        <is>
          <t>TT RTD Z-SCORE MONITOR   -   Energy Futures Spreads</t>
        </is>
      </c>
      <c r="N1" s="67" t="inlineStr">
        <is>
          <t>Assign macros: StartMonitor / StopMonitor</t>
        </is>
      </c>
    </row>
    <row r="2" ht="15" customHeight="1" s="65">
      <c r="B2" s="68" t="inlineStr">
        <is>
          <t>z is for ENTRIES only.  Exits act on MONEY, never on z.   All execution is manual in TT - this workbook never places an order.</t>
        </is>
      </c>
      <c r="N2" s="69" t="inlineStr">
        <is>
          <t xml:space="preserve">  &gt;  START  </t>
        </is>
      </c>
      <c r="P2" s="70" t="inlineStr">
        <is>
          <t xml:space="preserve">  #  STOP  </t>
        </is>
      </c>
    </row>
    <row r="3" ht="15" customHeight="1" s="65">
      <c r="B3" s="71" t="inlineStr">
        <is>
          <t>Monitor</t>
        </is>
      </c>
      <c r="C3" s="72" t="inlineStr">
        <is>
          <t>STOPPED</t>
        </is>
      </c>
      <c r="E3" s="71" t="inlineStr">
        <is>
          <t>Rates</t>
        </is>
      </c>
      <c r="F3" s="73" t="inlineStr">
        <is>
          <t>-</t>
        </is>
      </c>
      <c r="G3" s="74" t="n"/>
      <c r="H3" s="74" t="n"/>
      <c r="I3" s="74" t="n"/>
      <c r="J3" s="74" t="n"/>
      <c r="K3" s="71" t="inlineStr">
        <is>
          <t>Clock</t>
        </is>
      </c>
      <c r="L3" s="75" t="inlineStr">
        <is>
          <t>--:--:--</t>
        </is>
      </c>
      <c r="M3" s="67" t="inlineStr">
        <is>
          <t>&lt;- VBA writes this. NOW() was volatile and repainted the whole book on every RTD tick.</t>
        </is>
      </c>
    </row>
    <row r="4" ht="15" customHeight="1" s="65">
      <c r="B4" s="71" t="inlineStr">
        <is>
          <t>Market</t>
        </is>
      </c>
      <c r="C4" s="76" t="inlineStr">
        <is>
          <t>CME</t>
        </is>
      </c>
      <c r="E4" s="71" t="inlineStr">
        <is>
          <t>Session</t>
        </is>
      </c>
      <c r="F4" s="77" t="inlineStr">
        <is>
          <t>-</t>
        </is>
      </c>
      <c r="K4" s="71" t="inlineStr">
        <is>
          <t>Last tick</t>
        </is>
      </c>
      <c r="L4" s="78" t="inlineStr">
        <is>
          <t>-</t>
        </is>
      </c>
    </row>
    <row r="5" ht="15" customHeight="1" s="65">
      <c r="B5" s="79" t="inlineStr">
        <is>
          <t>Symbol</t>
        </is>
      </c>
      <c r="C5" s="79" t="inlineStr">
        <is>
          <t>Instrument ID</t>
        </is>
      </c>
      <c r="D5" s="79" t="inlineStr">
        <is>
          <t>Description</t>
        </is>
      </c>
      <c r="E5" s="79" t="inlineStr">
        <is>
          <t>Contract</t>
        </is>
      </c>
      <c r="F5" s="79" t="inlineStr">
        <is>
          <t>Tick</t>
        </is>
      </c>
      <c r="G5" s="79" t="inlineStr">
        <is>
          <t>$/tick</t>
        </is>
      </c>
      <c r="H5" s="79" t="inlineStr">
        <is>
          <t>Bid</t>
        </is>
      </c>
      <c r="I5" s="79" t="inlineStr">
        <is>
          <t>Ask</t>
        </is>
      </c>
      <c r="J5" s="79" t="inlineStr">
        <is>
          <t>High</t>
        </is>
      </c>
      <c r="K5" s="79" t="inlineStr">
        <is>
          <t>Low</t>
        </is>
      </c>
      <c r="L5" s="79" t="inlineStr">
        <is>
          <t>Mid</t>
        </is>
      </c>
      <c r="M5" s="79" t="inlineStr">
        <is>
          <t>Width</t>
        </is>
      </c>
      <c r="N5" s="80" t="inlineStr">
        <is>
          <t>BRENT / WTI  (mid)</t>
        </is>
      </c>
    </row>
    <row r="6" ht="15" customHeight="1" s="65">
      <c r="B6" s="81" t="inlineStr">
        <is>
          <t>RBV6</t>
        </is>
      </c>
      <c r="C6" s="82" t="n"/>
      <c r="D6" s="83" t="inlineStr">
        <is>
          <t>RBOB Gasoline Oct26</t>
        </is>
      </c>
      <c r="E6" s="84" t="inlineStr">
        <is>
          <t>42,000 gal</t>
        </is>
      </c>
      <c r="F6" s="85" t="n">
        <v>0.0001</v>
      </c>
      <c r="G6" s="86" t="n">
        <v>4.2</v>
      </c>
      <c r="H6" s="85" t="n"/>
      <c r="I6" s="85" t="n"/>
      <c r="J6" s="85" t="n"/>
      <c r="K6" s="85" t="n"/>
      <c r="L6" s="85" t="n"/>
      <c r="M6" s="85" t="n"/>
      <c r="N6" s="79" t="inlineStr">
        <is>
          <t>Pair</t>
        </is>
      </c>
      <c r="O6" s="79" t="inlineStr">
        <is>
          <t>Symbol</t>
        </is>
      </c>
      <c r="P6" s="79" t="inlineStr">
        <is>
          <t>Mid</t>
        </is>
      </c>
      <c r="Q6" s="79" t="inlineStr">
        <is>
          <t>Width</t>
        </is>
      </c>
    </row>
    <row r="7" ht="15" customHeight="1" s="65">
      <c r="B7" s="81" t="inlineStr">
        <is>
          <t>HOV6</t>
        </is>
      </c>
      <c r="C7" s="82" t="n"/>
      <c r="D7" s="83" t="inlineStr">
        <is>
          <t>NY Harbor ULSD Oct26</t>
        </is>
      </c>
      <c r="E7" s="84" t="inlineStr">
        <is>
          <t>42,000 gal</t>
        </is>
      </c>
      <c r="F7" s="85" t="n">
        <v>0.0001</v>
      </c>
      <c r="G7" s="86" t="n">
        <v>4.2</v>
      </c>
      <c r="H7" s="85" t="n"/>
      <c r="I7" s="85" t="n"/>
      <c r="J7" s="85" t="n"/>
      <c r="K7" s="85" t="n"/>
      <c r="L7" s="85" t="n"/>
      <c r="M7" s="85" t="n"/>
      <c r="N7" s="87" t="inlineStr">
        <is>
          <t>LegB</t>
        </is>
      </c>
      <c r="O7" s="75" t="inlineStr">
        <is>
          <t>BZV6</t>
        </is>
      </c>
      <c r="P7" s="85" t="n"/>
      <c r="Q7" s="85" t="n"/>
    </row>
    <row r="8" ht="15" customHeight="1" s="65">
      <c r="B8" s="81" t="inlineStr">
        <is>
          <t>CLV6</t>
        </is>
      </c>
      <c r="C8" s="82" t="n"/>
      <c r="D8" s="83" t="inlineStr">
        <is>
          <t>WTI Crude Oct26</t>
        </is>
      </c>
      <c r="E8" s="84" t="inlineStr">
        <is>
          <t>1,000 bbl</t>
        </is>
      </c>
      <c r="F8" s="85" t="n">
        <v>0.01</v>
      </c>
      <c r="G8" s="86" t="n">
        <v>10</v>
      </c>
      <c r="H8" s="85" t="n"/>
      <c r="I8" s="85" t="n"/>
      <c r="J8" s="85" t="n"/>
      <c r="K8" s="85" t="n"/>
      <c r="L8" s="85" t="n"/>
      <c r="M8" s="85" t="n"/>
      <c r="N8" s="87" t="inlineStr">
        <is>
          <t>LegA</t>
        </is>
      </c>
      <c r="O8" s="75" t="inlineStr">
        <is>
          <t>CLV6</t>
        </is>
      </c>
      <c r="P8" s="85" t="n"/>
      <c r="Q8" s="85" t="n"/>
    </row>
    <row r="9" ht="15" customHeight="1" s="65">
      <c r="B9" s="81" t="inlineStr">
        <is>
          <t>BZV6</t>
        </is>
      </c>
      <c r="C9" s="82" t="n"/>
      <c r="D9" s="83" t="inlineStr">
        <is>
          <t>Brent Last Day Fin Oct26</t>
        </is>
      </c>
      <c r="E9" s="84" t="inlineStr">
        <is>
          <t>1,000 bbl</t>
        </is>
      </c>
      <c r="F9" s="85" t="n">
        <v>0.01</v>
      </c>
      <c r="G9" s="86" t="n">
        <v>10</v>
      </c>
      <c r="H9" s="85" t="n"/>
      <c r="I9" s="85" t="n"/>
      <c r="J9" s="85" t="n"/>
      <c r="K9" s="85" t="n"/>
      <c r="L9" s="85" t="n"/>
      <c r="M9" s="85" t="n"/>
      <c r="N9" s="81" t="inlineStr">
        <is>
          <t>BZ - CL</t>
        </is>
      </c>
      <c r="O9" s="84" t="inlineStr">
        <is>
          <t>P7 - P8</t>
        </is>
      </c>
      <c r="P9" s="88" t="n"/>
    </row>
    <row r="10" ht="15" customHeight="1" s="65">
      <c r="B10" s="80" t="inlineStr">
        <is>
          <t>3:2:1 CRACK BUILD   ($/bbl)</t>
        </is>
      </c>
    </row>
    <row r="11" ht="15" customHeight="1" s="65">
      <c r="B11" s="79" t="inlineStr">
        <is>
          <t>Leg</t>
        </is>
      </c>
      <c r="C11" s="79" t="inlineStr">
        <is>
          <t>Instrument ID</t>
        </is>
      </c>
      <c r="D11" s="79" t="inlineStr">
        <is>
          <t>Description</t>
        </is>
      </c>
      <c r="E11" s="79" t="n"/>
      <c r="F11" s="79" t="inlineStr">
        <is>
          <t>Weight</t>
        </is>
      </c>
      <c r="G11" s="79" t="inlineStr">
        <is>
          <t>bbl conv</t>
        </is>
      </c>
      <c r="H11" s="79" t="inlineStr">
        <is>
          <t>Bid</t>
        </is>
      </c>
      <c r="I11" s="79" t="inlineStr">
        <is>
          <t>Ask</t>
        </is>
      </c>
      <c r="J11" s="79" t="inlineStr">
        <is>
          <t>High</t>
        </is>
      </c>
      <c r="K11" s="79" t="inlineStr">
        <is>
          <t>Low</t>
        </is>
      </c>
      <c r="L11" s="79" t="inlineStr">
        <is>
          <t>Mid</t>
        </is>
      </c>
    </row>
    <row r="12" ht="15" customHeight="1" s="65">
      <c r="B12" s="81" t="inlineStr">
        <is>
          <t>RBV6</t>
        </is>
      </c>
      <c r="C12" s="82" t="n"/>
      <c r="D12" s="83" t="inlineStr">
        <is>
          <t>RBOB Gasoline Oct26</t>
        </is>
      </c>
      <c r="F12" s="89" t="n">
        <v>2</v>
      </c>
      <c r="G12" s="89" t="n">
        <v>42</v>
      </c>
      <c r="H12" s="85" t="n"/>
      <c r="I12" s="85" t="n"/>
      <c r="J12" s="85" t="n"/>
      <c r="K12" s="85" t="n"/>
      <c r="L12" s="85" t="n"/>
      <c r="N12" s="90" t="inlineStr">
        <is>
          <t>CONVENTION (confirm):</t>
        </is>
      </c>
    </row>
    <row r="13" ht="15" customHeight="1" s="65">
      <c r="B13" s="81" t="inlineStr">
        <is>
          <t>HOV6</t>
        </is>
      </c>
      <c r="C13" s="82" t="n"/>
      <c r="D13" s="83" t="inlineStr">
        <is>
          <t>NY Harbor ULSD Oct26</t>
        </is>
      </c>
      <c r="F13" s="89" t="n">
        <v>1</v>
      </c>
      <c r="G13" s="89" t="n">
        <v>42</v>
      </c>
      <c r="H13" s="85" t="n"/>
      <c r="I13" s="85" t="n"/>
      <c r="J13" s="85" t="n"/>
      <c r="K13" s="85" t="n"/>
      <c r="L13" s="85" t="n"/>
      <c r="N13" s="67" t="inlineStr">
        <is>
          <t>H15 bid  = (2xH12x42 + 1xH13x42 - 3xI14)/3   sells products at the bid, buys crude at the ask</t>
        </is>
      </c>
    </row>
    <row r="14" ht="15" customHeight="1" s="65">
      <c r="B14" s="81" t="inlineStr">
        <is>
          <t>CLV6</t>
        </is>
      </c>
      <c r="C14" s="82" t="n"/>
      <c r="D14" s="83" t="inlineStr">
        <is>
          <t>WTI Crude Oct26</t>
        </is>
      </c>
      <c r="F14" s="89" t="n">
        <v>3</v>
      </c>
      <c r="G14" s="89" t="n">
        <v>1</v>
      </c>
      <c r="H14" s="85" t="n"/>
      <c r="I14" s="85" t="n"/>
      <c r="J14" s="85" t="n"/>
      <c r="K14" s="85" t="n"/>
      <c r="L14" s="85" t="n"/>
      <c r="N14" s="67" t="inlineStr">
        <is>
          <t>I15 ask  = (2xI12x42 + 1xI13x42 - 3xH14)/3   mirrors it - uses H14 (CL BID), not I14</t>
        </is>
      </c>
    </row>
    <row r="15" ht="15" customHeight="1" s="65">
      <c r="B15" s="81" t="inlineStr">
        <is>
          <t>3:2:1 Crack</t>
        </is>
      </c>
      <c r="C15" s="87" t="inlineStr">
        <is>
          <t>(2RB + 1HO)x42/3 - CL</t>
        </is>
      </c>
      <c r="H15" s="88" t="n"/>
      <c r="I15" s="88" t="n"/>
      <c r="L15" s="88" t="n"/>
      <c r="N15" s="91" t="inlineStr">
        <is>
          <t>The old sheet had I15 referencing I14. That double-counted the crude ask and understated the quoted crack width.</t>
        </is>
      </c>
    </row>
    <row r="16"/>
    <row r="17" ht="15" customHeight="1" s="65">
      <c r="B17" s="80" t="inlineStr">
        <is>
          <t>DERIVED &amp; LISTED SPREADS</t>
        </is>
      </c>
    </row>
    <row r="18" ht="15" customHeight="1" s="65">
      <c r="B18" s="79" t="inlineStr">
        <is>
          <t>Spread</t>
        </is>
      </c>
      <c r="C18" s="79" t="inlineStr">
        <is>
          <t>Basis</t>
        </is>
      </c>
      <c r="D18" s="79" t="inlineStr">
        <is>
          <t>Crossing convention</t>
        </is>
      </c>
      <c r="E18" s="79" t="n"/>
      <c r="F18" s="79" t="n"/>
      <c r="G18" s="79" t="n"/>
      <c r="H18" s="79" t="inlineStr">
        <is>
          <t>Bid</t>
        </is>
      </c>
      <c r="I18" s="79" t="inlineStr">
        <is>
          <t>Ask</t>
        </is>
      </c>
      <c r="J18" s="79" t="n"/>
      <c r="K18" s="79" t="n"/>
      <c r="L18" s="79" t="inlineStr">
        <is>
          <t>Mid</t>
        </is>
      </c>
      <c r="M18" s="79" t="inlineStr">
        <is>
          <t>Width</t>
        </is>
      </c>
      <c r="N18" s="79" t="inlineStr">
        <is>
          <t>Width $/lot</t>
        </is>
      </c>
    </row>
    <row r="19" ht="15" customHeight="1" s="65">
      <c r="B19" s="81" t="inlineStr">
        <is>
          <t>BZ - CL</t>
        </is>
      </c>
      <c r="C19" s="84" t="inlineStr">
        <is>
          <t>legged</t>
        </is>
      </c>
      <c r="D19" s="87" t="inlineStr">
        <is>
          <t>bid = BZ bid - CL ask ; ask = BZ ask - CL bid</t>
        </is>
      </c>
      <c r="H19" s="85" t="n"/>
      <c r="I19" s="85" t="n"/>
      <c r="L19" s="85" t="n"/>
      <c r="M19" s="85" t="n"/>
      <c r="N19" s="86" t="n"/>
    </row>
    <row r="20" ht="15" customHeight="1" s="65">
      <c r="B20" s="81" t="inlineStr">
        <is>
          <t>HO/CL crack</t>
        </is>
      </c>
      <c r="C20" s="84" t="inlineStr">
        <is>
          <t>legged</t>
        </is>
      </c>
      <c r="D20" s="87" t="inlineStr">
        <is>
          <t>bid = HO bid x42 - CL ask ; ask = HO ask x42 - CL bid</t>
        </is>
      </c>
      <c r="H20" s="85" t="n"/>
      <c r="I20" s="85" t="n"/>
      <c r="L20" s="85" t="n"/>
      <c r="M20" s="85" t="n"/>
      <c r="N20" s="86" t="n"/>
    </row>
    <row r="21" ht="15" customHeight="1" s="65">
      <c r="B21" s="81" t="inlineStr">
        <is>
          <t>3:2:1 crack</t>
        </is>
      </c>
      <c r="C21" s="84" t="inlineStr">
        <is>
          <t>legged</t>
        </is>
      </c>
      <c r="D21" s="87" t="inlineStr">
        <is>
          <t>bid sells products / buys crude ; ask mirrors it</t>
        </is>
      </c>
      <c r="H21" s="85" t="n"/>
      <c r="I21" s="85" t="n"/>
      <c r="L21" s="85" t="n"/>
      <c r="M21" s="85" t="n"/>
      <c r="N21" s="86" t="n"/>
    </row>
    <row r="22" ht="15" customHeight="1" s="65">
      <c r="B22" s="81" t="inlineStr">
        <is>
          <t>CL Oct26 - BZ Oct26 Inter-Product</t>
        </is>
      </c>
      <c r="C22" s="84" t="inlineStr">
        <is>
          <t>listed</t>
        </is>
      </c>
      <c r="D22" s="87" t="inlineStr">
        <is>
          <t>exchange-listed - one quote, no leg risk</t>
        </is>
      </c>
      <c r="H22" s="85" t="n"/>
      <c r="I22" s="85" t="n"/>
      <c r="L22" s="85" t="n"/>
      <c r="M22" s="85" t="n"/>
      <c r="N22" s="86" t="n"/>
    </row>
    <row r="23" ht="15" customHeight="1" s="65">
      <c r="B23" s="81" t="inlineStr">
        <is>
          <t>Oct26 HO-CL Crack</t>
        </is>
      </c>
      <c r="C23" s="84" t="inlineStr">
        <is>
          <t>listed</t>
        </is>
      </c>
      <c r="D23" s="87" t="inlineStr">
        <is>
          <t>exchange-listed - one quote, no leg risk</t>
        </is>
      </c>
      <c r="H23" s="85" t="n"/>
      <c r="I23" s="85" t="n"/>
      <c r="L23" s="85" t="n"/>
      <c r="M23" s="85" t="n"/>
      <c r="N23" s="86" t="n"/>
    </row>
    <row r="24" ht="15" customHeight="1" s="65">
      <c r="B24" s="67" t="inlineStr">
        <is>
          <t>Legging crosses two markets; the listed inter-product spread crosses one, at roughly half the cost and with no leg risk. Prefer it where liquidity allows.</t>
        </is>
      </c>
    </row>
    <row r="25"/>
    <row r="26" ht="15" customHeight="1" s="65">
      <c r="B26" s="79" t="inlineStr">
        <is>
          <t>Metric</t>
        </is>
      </c>
      <c r="C26" s="79" t="inlineStr">
        <is>
          <t>Unit / note</t>
        </is>
      </c>
      <c r="D26" s="79" t="inlineStr">
        <is>
          <t>SPREAD 1</t>
        </is>
      </c>
      <c r="E26" s="79" t="inlineStr">
        <is>
          <t>SPREAD 2</t>
        </is>
      </c>
      <c r="F26" s="79" t="inlineStr">
        <is>
          <t>SPREAD 3</t>
        </is>
      </c>
      <c r="G26" s="79" t="inlineStr">
        <is>
          <t>SPREAD 4</t>
        </is>
      </c>
    </row>
    <row r="27" ht="15" customHeight="1" s="65">
      <c r="B27" s="92" t="inlineStr">
        <is>
          <t>Spread</t>
        </is>
      </c>
      <c r="C27" s="87" t="n"/>
      <c r="D27" s="78" t="n"/>
      <c r="E27" s="78" t="n"/>
      <c r="F27" s="78" t="n"/>
      <c r="G27" s="78" t="n"/>
    </row>
    <row r="28" ht="15" customHeight="1" s="65">
      <c r="B28" s="92" t="inlineStr">
        <is>
          <t>Definition</t>
        </is>
      </c>
      <c r="C28" s="87" t="inlineStr">
        <is>
          <t>LegB - beta x LegA</t>
        </is>
      </c>
      <c r="D28" s="78" t="n"/>
      <c r="E28" s="78" t="n"/>
      <c r="F28" s="78" t="n"/>
      <c r="G28" s="78" t="n"/>
    </row>
    <row r="29" ht="15" customHeight="1" s="65">
      <c r="B29" s="92" t="inlineStr">
        <is>
          <t>Mode</t>
        </is>
      </c>
      <c r="C29" s="87" t="n"/>
      <c r="D29" s="78" t="n"/>
      <c r="E29" s="78" t="n"/>
      <c r="F29" s="78" t="n"/>
      <c r="G29" s="78" t="n"/>
    </row>
    <row r="30" ht="15" customHeight="1" s="65">
      <c r="B30" s="92" t="inlineStr">
        <is>
          <t>HEDGE_RATIO (beta)</t>
        </is>
      </c>
      <c r="C30" s="87" t="inlineStr">
        <is>
          <t>stamped pair -&gt;</t>
        </is>
      </c>
      <c r="D30" s="78" t="n"/>
      <c r="E30" s="78" t="n"/>
      <c r="F30" s="78" t="n"/>
      <c r="G30" s="78" t="n"/>
    </row>
    <row r="31" ht="15" customHeight="1" s="65">
      <c r="B31" s="92" t="inlineStr">
        <is>
          <t>USD per 1.00 of spread</t>
        </is>
      </c>
      <c r="C31" s="87" t="inlineStr">
        <is>
          <t>per lot</t>
        </is>
      </c>
      <c r="D31" s="93" t="n"/>
      <c r="E31" s="93" t="n"/>
      <c r="F31" s="93" t="n"/>
      <c r="G31" s="93" t="n"/>
    </row>
    <row r="32" ht="15" customHeight="1" s="65">
      <c r="B32" s="94" t="inlineStr">
        <is>
          <t>MARKET  (touch, shown separately from the statistic)</t>
        </is>
      </c>
      <c r="C32" s="95" t="n"/>
      <c r="D32" s="95" t="n"/>
      <c r="E32" s="95" t="n"/>
      <c r="F32" s="95" t="n"/>
      <c r="G32" s="95" t="n"/>
    </row>
    <row r="33" ht="15" customHeight="1" s="65">
      <c r="B33" s="92" t="inlineStr">
        <is>
          <t>Spread bid</t>
        </is>
      </c>
      <c r="C33" s="87" t="n"/>
      <c r="D33" s="85" t="n"/>
      <c r="E33" s="85" t="n"/>
      <c r="F33" s="85" t="n"/>
      <c r="G33" s="85" t="n"/>
    </row>
    <row r="34" ht="15" customHeight="1" s="65">
      <c r="B34" s="92" t="inlineStr">
        <is>
          <t>Spread ask</t>
        </is>
      </c>
      <c r="C34" s="87" t="n"/>
      <c r="D34" s="85" t="n"/>
      <c r="E34" s="85" t="n"/>
      <c r="F34" s="85" t="n"/>
      <c r="G34" s="85" t="n"/>
    </row>
    <row r="35" ht="15" customHeight="1" s="65">
      <c r="B35" s="92" t="inlineStr">
        <is>
          <t>Spread mid   &lt;- feeds the statistic</t>
        </is>
      </c>
      <c r="C35" s="87" t="n"/>
      <c r="D35" s="85" t="n"/>
      <c r="E35" s="85" t="n"/>
      <c r="F35" s="85" t="n"/>
      <c r="G35" s="85" t="n"/>
    </row>
    <row r="36" ht="15" customHeight="1" s="65">
      <c r="B36" s="92" t="inlineStr">
        <is>
          <t>Market width</t>
        </is>
      </c>
      <c r="C36" s="87" t="inlineStr">
        <is>
          <t>spread units</t>
        </is>
      </c>
      <c r="D36" s="85" t="n"/>
      <c r="E36" s="85" t="n"/>
      <c r="F36" s="85" t="n"/>
      <c r="G36" s="85" t="n"/>
    </row>
    <row r="37" ht="15" customHeight="1" s="65">
      <c r="B37" s="94" t="inlineStr">
        <is>
          <t>WINDOW</t>
        </is>
      </c>
      <c r="C37" s="95" t="n"/>
      <c r="D37" s="95" t="n"/>
      <c r="E37" s="95" t="n"/>
      <c r="F37" s="95" t="n"/>
      <c r="G37" s="95" t="n"/>
    </row>
    <row r="38" ht="15" customHeight="1" s="65">
      <c r="B38" s="92" t="inlineStr">
        <is>
          <t>Stored samples in window</t>
        </is>
      </c>
      <c r="C38" s="87" t="inlineStr">
        <is>
          <t>after dedupe + store gate</t>
        </is>
      </c>
      <c r="D38" s="93" t="n"/>
      <c r="E38" s="93" t="n"/>
      <c r="F38" s="93" t="n"/>
      <c r="G38" s="93" t="n"/>
    </row>
    <row r="39" ht="15" customHeight="1" s="65">
      <c r="B39" s="92" t="inlineStr">
        <is>
          <t>Window elapsed</t>
        </is>
      </c>
      <c r="C39" s="87" t="inlineStr">
        <is>
          <t>min</t>
        </is>
      </c>
      <c r="D39" s="96" t="n"/>
      <c r="E39" s="96" t="n"/>
      <c r="F39" s="96" t="n"/>
      <c r="G39" s="96" t="n"/>
    </row>
    <row r="40" ht="15" customHeight="1" s="65">
      <c r="B40" s="92" t="inlineStr">
        <is>
          <t>Warm-up gate</t>
        </is>
      </c>
      <c r="C40" s="87" t="inlineStr">
        <is>
          <t>binding gate</t>
        </is>
      </c>
      <c r="D40" s="78" t="n"/>
      <c r="E40" s="78" t="n"/>
      <c r="F40" s="78" t="n"/>
      <c r="G40" s="78" t="n"/>
    </row>
    <row r="41" ht="15" customHeight="1" s="65">
      <c r="B41" s="92" t="inlineStr">
        <is>
          <t>Feed rate</t>
        </is>
      </c>
      <c r="C41" s="87" t="inlineStr">
        <is>
          <t>quote CHANGES / min</t>
        </is>
      </c>
      <c r="D41" s="97" t="n"/>
      <c r="E41" s="97" t="n"/>
      <c r="F41" s="97" t="n"/>
      <c r="G41" s="97" t="n"/>
    </row>
    <row r="42" ht="15" customHeight="1" s="65">
      <c r="B42" s="92" t="inlineStr">
        <is>
          <t>Feed status</t>
        </is>
      </c>
      <c r="C42" s="87" t="n"/>
      <c r="D42" s="78" t="n"/>
      <c r="E42" s="78" t="n"/>
      <c r="F42" s="78" t="n"/>
      <c r="G42" s="78" t="n"/>
    </row>
    <row r="43" ht="15" customHeight="1" s="65">
      <c r="B43" s="94" t="inlineStr">
        <is>
          <t>STATISTICS  (FROZEN - republished every STATS_REFRESH_MIN)</t>
        </is>
      </c>
      <c r="C43" s="95" t="n"/>
      <c r="D43" s="95" t="n"/>
      <c r="E43" s="95" t="n"/>
      <c r="F43" s="95" t="n"/>
      <c r="G43" s="95" t="n"/>
    </row>
    <row r="44" ht="15" customHeight="1" s="65">
      <c r="B44" s="92" t="inlineStr">
        <is>
          <t>Mean (frozen)</t>
        </is>
      </c>
      <c r="C44" s="87" t="n"/>
      <c r="D44" s="85" t="n"/>
      <c r="E44" s="85" t="n"/>
      <c r="F44" s="85" t="n"/>
      <c r="G44" s="85" t="n"/>
    </row>
    <row r="45" ht="15" customHeight="1" s="65">
      <c r="B45" s="92" t="inlineStr">
        <is>
          <t>Sigma (frozen)</t>
        </is>
      </c>
      <c r="C45" s="87" t="n"/>
      <c r="D45" s="85" t="n"/>
      <c r="E45" s="85" t="n"/>
      <c r="F45" s="85" t="n"/>
      <c r="G45" s="85" t="n"/>
    </row>
    <row r="46" ht="15" customHeight="1" s="65">
      <c r="B46" s="92" t="inlineStr">
        <is>
          <t>Sigma in dollars</t>
        </is>
      </c>
      <c r="C46" s="87" t="inlineStr">
        <is>
          <t>sigma x USD/pt x LOTS</t>
        </is>
      </c>
      <c r="D46" s="86" t="n"/>
      <c r="E46" s="86" t="n"/>
      <c r="F46" s="86" t="n"/>
      <c r="G46" s="86" t="n"/>
    </row>
    <row r="47" ht="15" customHeight="1" s="65">
      <c r="B47" s="92" t="inlineStr">
        <is>
          <t>Stats age / next refresh</t>
        </is>
      </c>
      <c r="C47" s="87" t="inlineStr">
        <is>
          <t>min</t>
        </is>
      </c>
      <c r="D47" s="78" t="n"/>
      <c r="E47" s="78" t="n"/>
      <c r="F47" s="78" t="n"/>
      <c r="G47" s="78" t="n"/>
    </row>
    <row r="48" ht="15" customHeight="1" s="65">
      <c r="B48" s="92" t="inlineStr">
        <is>
          <t>Z  (live, vs frozen mean &amp; sigma)</t>
        </is>
      </c>
      <c r="C48" s="87" t="n"/>
      <c r="D48" s="98" t="n"/>
      <c r="E48" s="98" t="n"/>
      <c r="F48" s="98" t="n"/>
      <c r="G48" s="98" t="n"/>
    </row>
    <row r="49" ht="15" customHeight="1" s="65">
      <c r="B49" s="99" t="inlineStr">
        <is>
          <t>SIGNAL</t>
        </is>
      </c>
      <c r="C49" s="87" t="n"/>
      <c r="D49" s="75" t="n"/>
      <c r="E49" s="75" t="n"/>
      <c r="F49" s="75" t="n"/>
      <c r="G49" s="75" t="n"/>
    </row>
    <row r="50" ht="15" customHeight="1" s="65">
      <c r="B50" s="94" t="inlineStr">
        <is>
          <t>COST OF THE ROUND TRIP</t>
        </is>
      </c>
      <c r="C50" s="95" t="n"/>
      <c r="D50" s="95" t="n"/>
      <c r="E50" s="95" t="n"/>
      <c r="F50" s="95" t="n"/>
      <c r="G50" s="95" t="n"/>
    </row>
    <row r="51" ht="15" customHeight="1" s="65">
      <c r="B51" s="92" t="inlineStr">
        <is>
          <t>Direction</t>
        </is>
      </c>
      <c r="C51" s="87" t="n"/>
      <c r="D51" s="78" t="n"/>
      <c r="E51" s="78" t="n"/>
      <c r="F51" s="78" t="n"/>
      <c r="G51" s="78" t="n"/>
    </row>
    <row r="52" ht="15" customHeight="1" s="65">
      <c r="B52" s="92" t="inlineStr">
        <is>
          <t>Entry reference (touch)</t>
        </is>
      </c>
      <c r="C52" s="87" t="n"/>
      <c r="D52" s="85" t="n"/>
      <c r="E52" s="85" t="n"/>
      <c r="F52" s="85" t="n"/>
      <c r="G52" s="85" t="n"/>
    </row>
    <row r="53" ht="15" customHeight="1" s="65">
      <c r="B53" s="92" t="inlineStr">
        <is>
          <t>Commission</t>
        </is>
      </c>
      <c r="C53" s="87" t="inlineStr">
        <is>
          <t>contracts x rate x LOTS</t>
        </is>
      </c>
      <c r="D53" s="86" t="n"/>
      <c r="E53" s="86" t="n"/>
      <c r="F53" s="86" t="n"/>
      <c r="G53" s="86" t="n"/>
    </row>
    <row r="54" ht="15" customHeight="1" s="65">
      <c r="B54" s="92" t="inlineStr">
        <is>
          <t>Crossing cost - LEGGING</t>
        </is>
      </c>
      <c r="C54" s="87" t="n"/>
      <c r="D54" s="86" t="n"/>
      <c r="E54" s="86" t="n"/>
      <c r="F54" s="86" t="n"/>
      <c r="G54" s="86" t="n"/>
    </row>
    <row r="55" ht="15" customHeight="1" s="65">
      <c r="B55" s="92" t="inlineStr">
        <is>
          <t>Crossing cost - LISTED</t>
        </is>
      </c>
      <c r="C55" s="87" t="n"/>
      <c r="D55" s="86" t="n"/>
      <c r="E55" s="86" t="n"/>
      <c r="F55" s="86" t="n"/>
      <c r="G55" s="86" t="n"/>
    </row>
    <row r="56" ht="15" customHeight="1" s="65">
      <c r="B56" s="99" t="inlineStr">
        <is>
          <t>TOTAL COST (this mode)</t>
        </is>
      </c>
      <c r="C56" s="87" t="n"/>
      <c r="D56" s="100" t="n"/>
      <c r="E56" s="100" t="n"/>
      <c r="F56" s="100" t="n"/>
      <c r="G56" s="100" t="n"/>
    </row>
    <row r="57" ht="15" customHeight="1" s="65">
      <c r="B57" s="94" t="inlineStr">
        <is>
          <t>TAKE PROFIT  (exits act on MONEY, never on z)</t>
        </is>
      </c>
      <c r="C57" s="95" t="n"/>
      <c r="D57" s="95" t="n"/>
      <c r="E57" s="95" t="n"/>
      <c r="F57" s="95" t="n"/>
      <c r="G57" s="95" t="n"/>
    </row>
    <row r="58" ht="15" customHeight="1" s="65">
      <c r="B58" s="92" t="inlineStr">
        <is>
          <t>Break-even spread</t>
        </is>
      </c>
      <c r="C58" s="87" t="inlineStr">
        <is>
          <t>absolute level</t>
        </is>
      </c>
      <c r="D58" s="85" t="n"/>
      <c r="E58" s="85" t="n"/>
      <c r="F58" s="85" t="n"/>
      <c r="G58" s="85" t="n"/>
    </row>
    <row r="59" ht="15" customHeight="1" s="65">
      <c r="B59" s="99" t="inlineStr">
        <is>
          <t>TAKE-PROFIT spread</t>
        </is>
      </c>
      <c r="C59" s="87" t="inlineStr">
        <is>
          <t>absolute level</t>
        </is>
      </c>
      <c r="D59" s="88" t="n"/>
      <c r="E59" s="88" t="n"/>
      <c r="F59" s="88" t="n"/>
      <c r="G59" s="88" t="n"/>
    </row>
    <row r="60" ht="15" customHeight="1" s="65">
      <c r="B60" s="92" t="inlineStr">
        <is>
          <t>TP distance</t>
        </is>
      </c>
      <c r="C60" s="87" t="inlineStr">
        <is>
          <t>spread units</t>
        </is>
      </c>
      <c r="D60" s="85" t="n"/>
      <c r="E60" s="85" t="n"/>
      <c r="F60" s="85" t="n"/>
      <c r="G60" s="85" t="n"/>
    </row>
    <row r="61" ht="15" customHeight="1" s="65">
      <c r="B61" s="92" t="inlineStr">
        <is>
          <t>TP in sigma</t>
        </is>
      </c>
      <c r="C61" s="87" t="inlineStr">
        <is>
          <t>x sigma</t>
        </is>
      </c>
      <c r="D61" s="96" t="n"/>
      <c r="E61" s="96" t="n"/>
      <c r="F61" s="96" t="n"/>
      <c r="G61" s="96" t="n"/>
    </row>
    <row r="62" ht="15" customHeight="1" s="65">
      <c r="B62" s="92" t="inlineStr">
        <is>
          <t>Target z</t>
        </is>
      </c>
      <c r="C62" s="87" t="inlineStr">
        <is>
          <t>z at the TP level</t>
        </is>
      </c>
      <c r="D62" s="96" t="n"/>
      <c r="E62" s="96" t="n"/>
      <c r="F62" s="96" t="n"/>
      <c r="G62" s="96" t="n"/>
    </row>
    <row r="63" ht="15" customHeight="1" s="65">
      <c r="B63" s="92" t="inlineStr">
        <is>
          <t>TP beyond the mean?</t>
        </is>
      </c>
      <c r="C63" s="87" t="n"/>
      <c r="D63" s="78" t="n"/>
      <c r="E63" s="78" t="n"/>
      <c r="F63" s="78" t="n"/>
      <c r="G63" s="78" t="n"/>
    </row>
    <row r="64" ht="15" customHeight="1" s="65">
      <c r="B64" s="94" t="inlineStr">
        <is>
          <t>EDGE FILTER</t>
        </is>
      </c>
      <c r="C64" s="95" t="n"/>
      <c r="D64" s="95" t="n"/>
      <c r="E64" s="95" t="n"/>
      <c r="F64" s="95" t="n"/>
      <c r="G64" s="95" t="n"/>
    </row>
    <row r="65" ht="15" customHeight="1" s="65">
      <c r="B65" s="92" t="inlineStr">
        <is>
          <t>Expected capture</t>
        </is>
      </c>
      <c r="C65" s="87" t="inlineStr">
        <is>
          <t>0.5 x |z| x sigma x USD/pt x LOTS</t>
        </is>
      </c>
      <c r="D65" s="86" t="n"/>
      <c r="E65" s="86" t="n"/>
      <c r="F65" s="86" t="n"/>
      <c r="G65" s="86" t="n"/>
    </row>
    <row r="66" ht="15" customHeight="1" s="65">
      <c r="B66" s="92" t="inlineStr">
        <is>
          <t>Required</t>
        </is>
      </c>
      <c r="C66" s="87" t="inlineStr">
        <is>
          <t>EDGE_MULTIPLE x total cost</t>
        </is>
      </c>
      <c r="D66" s="86" t="n"/>
      <c r="E66" s="86" t="n"/>
      <c r="F66" s="86" t="n"/>
      <c r="G66" s="86" t="n"/>
    </row>
    <row r="67" ht="15" customHeight="1" s="65">
      <c r="B67" s="99" t="inlineStr">
        <is>
          <t>EDGE VERDICT</t>
        </is>
      </c>
      <c r="C67" s="87" t="n"/>
      <c r="D67" s="75" t="n"/>
      <c r="E67" s="75" t="n"/>
      <c r="F67" s="75" t="n"/>
      <c r="G67" s="75" t="n"/>
    </row>
    <row r="68" ht="15" customHeight="1" s="65">
      <c r="B68" s="92" t="inlineStr">
        <is>
          <t>Min sigma to pass at live z</t>
        </is>
      </c>
      <c r="C68" s="87" t="inlineStr">
        <is>
          <t>spread units</t>
        </is>
      </c>
      <c r="D68" s="85" t="n"/>
      <c r="E68" s="85" t="n"/>
      <c r="F68" s="85" t="n"/>
      <c r="G68" s="85" t="n"/>
    </row>
    <row r="69"/>
    <row r="70" ht="15" customHeight="1" s="65">
      <c r="B70" s="90" t="inlineStr">
        <is>
          <t>READ THIS BEFORE TRADING FROM IT</t>
        </is>
      </c>
    </row>
    <row r="71" ht="15" customHeight="1" s="65">
      <c r="B71" s="101" t="inlineStr">
        <is>
          <t>z is for ENTRIES only.  Exits act on MONEY, never on z.  The take-profit block, not the z, tells you when to get out.</t>
        </is>
      </c>
    </row>
    <row r="72" ht="15" customHeight="1" s="65">
      <c r="B72" s="101" t="inlineStr">
        <is>
          <t>z WILL STEP at each stats refresh. That is expected, not a fault - mean and sigma are recomputed every STATS_REFRESH_MIN minutes and held frozen in between.</t>
        </is>
      </c>
    </row>
    <row r="73" ht="15" customHeight="1" s="65">
      <c r="B73" s="101" t="inlineStr">
        <is>
          <t>Freezing the reference is a feature, not just a performance trick. A continuously-updating mean chases the spread, so an open position's z drifts back toward zero without the price ever paying you.</t>
        </is>
      </c>
    </row>
    <row r="74" ht="15" customHeight="1" s="65">
      <c r="B74" s="101" t="inlineStr">
        <is>
          <t>Ticks are stored continuously and the window still slides continuously. Only the PUBLISHED mean and sigma are frozen.</t>
        </is>
      </c>
    </row>
    <row r="75" ht="15" customHeight="1" s="65">
      <c r="B75" s="91" t="inlineStr">
        <is>
          <t>A highlighted z that fails the edge filter is NOT a trade. Read the EDGE VERDICT row before acting on the highlight.</t>
        </is>
      </c>
    </row>
    <row r="76" ht="15" customHeight="1" s="65">
      <c r="B76" s="101" t="inlineStr">
        <is>
          <t>The entry ceiling is its own rule: highlight only when ENTRY_Z &lt;= |z| &lt; MAX_ENTRY_Z. A z of 5+ is a momentum spike, not a reversion setup.</t>
        </is>
      </c>
    </row>
    <row r="77" ht="15" customHeight="1" s="65">
      <c r="B77" s="101" t="inlineStr">
        <is>
          <t>A thin feed collapses sigma. If the feed rate is amber, the sigma you are trusting is thin.</t>
        </is>
      </c>
    </row>
    <row r="78" ht="15" customHeight="1" s="65">
      <c r="B78" s="90" t="inlineStr">
        <is>
          <t>SIGMA ON THESE SPREADS HAS NEVER BEEN MEASURED. Every cost and edge threshold is contingent on it. Measuring it is a main purpose of this tool.</t>
        </is>
      </c>
    </row>
    <row r="79" ht="15" customHeight="1" s="65">
      <c r="B79" s="101" t="inlineStr">
        <is>
          <t>Brent/WTI is a RELATED pair, not a basis pair - two different crudes, no arbitrage tying them, so no theoretical fair value. The only anchor is the spread's own empirical mean. No carry or fair-value term is added anywhere.</t>
        </is>
      </c>
    </row>
    <row r="80" ht="15" customHeight="1" s="65">
      <c r="B80" s="102" t="inlineStr">
        <is>
          <t>FOUR DECOUPLED RATES. CAPTURE_MS polls for a changed quote (buys latency to the chime, not a better sigma). STORE_MIN_INTERVAL_MS decides what reaches the window. PRICE_REFRESH_MS decides what repaints. STATS_REFRESH_MIN decides when mean and sigma are republished.</t>
        </is>
      </c>
    </row>
    <row r="81" ht="15" customHeight="1" s="65">
      <c r="B81" s="101" t="inlineStr">
        <is>
          <t>Consequence of ENTRY_Z = 2.5 rather than 3.0: less expected capture per entry, so it RAISES the sigma the spread must have to be worth trading - by about 20%. See the Setup sheet for the table.</t>
        </is>
      </c>
    </row>
    <row r="82"/>
    <row r="83" ht="15" customHeight="1" s="65">
      <c r="B83" s="103" t="inlineStr">
        <is>
          <t>NO CELL ON THIS SHEET IS A FORMULA. Every value is written by VBA only when it differs from what is already there - that is what stops the display flashing on every uptick.</t>
        </is>
      </c>
    </row>
    <row r="84" ht="15" customHeight="1" s="65">
      <c r="B84" s="67" t="inlineStr">
        <is>
          <t>All RTD() formulas live on the hidden Feed sheet. There is no volatile function anywhere in this workbook.</t>
        </is>
      </c>
    </row>
  </sheetData>
  <mergeCells count="1">
    <mergeCell ref="F3:J3"/>
  </mergeCells>
  <conditionalFormatting sqref="D48:G49">
    <cfRule type="expression" rank="0" priority="2" equalAverage="0" aboveAverage="0" dxfId="0" text="" percent="0" bottom="0">
      <formula>OR(D$49="NO USABLE Z",D$49="STALE FEED")</formula>
    </cfRule>
    <cfRule type="expression" rank="0" priority="3" equalAverage="0" aboveAverage="0" dxfId="1" text="" percent="0" bottom="0">
      <formula>D$49="WARMING UP"</formula>
    </cfRule>
    <cfRule type="expression" rank="0" priority="4" equalAverage="0" aboveAverage="0" dxfId="2" text="" percent="0" bottom="0">
      <formula>D$49="ABOVE CEILING"</formula>
    </cfRule>
    <cfRule type="expression" rank="0" priority="5" equalAverage="0" aboveAverage="0" dxfId="3" text="" percent="0" bottom="0">
      <formula>AND(D$49="ENTRY BAND",D$67="PASS")</formula>
    </cfRule>
    <cfRule type="expression" rank="0" priority="6" equalAverage="0" aboveAverage="0" dxfId="2" text="" percent="0" bottom="0">
      <formula>AND(D$49="ENTRY BAND",D$67&lt;&gt;"PASS")</formula>
    </cfRule>
  </conditionalFormatting>
  <conditionalFormatting sqref="D67:G67">
    <cfRule type="expression" rank="0" priority="7" equalAverage="0" aboveAverage="0" dxfId="3" text="" percent="0" bottom="0">
      <formula>D67="PASS"</formula>
    </cfRule>
    <cfRule type="expression" rank="0" priority="8" equalAverage="0" aboveAverage="0" dxfId="2" text="" percent="0" bottom="0">
      <formula>D67="FAIL"</formula>
    </cfRule>
  </conditionalFormatting>
  <conditionalFormatting sqref="D42:G42">
    <cfRule type="expression" rank="0" priority="9" equalAverage="0" aboveAverage="0" dxfId="0" text="" percent="0" bottom="0">
      <formula>D42="STALE"</formula>
    </cfRule>
    <cfRule type="expression" rank="0" priority="10" equalAverage="0" aboveAverage="0" dxfId="2" text="" percent="0" bottom="0">
      <formula>D42="THIN"</formula>
    </cfRule>
    <cfRule type="expression" rank="0" priority="11" equalAverage="0" aboveAverage="0" dxfId="3" text="" percent="0" bottom="0">
      <formula>D42="OK"</formula>
    </cfRule>
  </conditionalFormatting>
  <conditionalFormatting sqref="D40:G40">
    <cfRule type="expression" rank="0" priority="12" equalAverage="0" aboveAverage="0" dxfId="1" text="" percent="0" bottom="0">
      <formula>D40&lt;&gt;"ready"</formula>
    </cfRule>
  </conditionalFormatting>
  <conditionalFormatting sqref="D63:G63">
    <cfRule type="expression" rank="0" priority="13" equalAverage="0" aboveAverage="0" dxfId="2" text="" percent="0" bottom="0">
      <formula>LEFT(D63,3)="YES"</formula>
    </cfRule>
  </conditionalFormatting>
  <conditionalFormatting sqref="C3">
    <cfRule type="expression" rank="0" priority="14" equalAverage="0" aboveAverage="0" dxfId="3" text="" percent="0" bottom="0">
      <formula>C3="RUNNING"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64" min="1" max="1"/>
    <col width="34" customWidth="1" style="64" min="2" max="2"/>
    <col width="14" customWidth="1" style="64" min="3" max="3"/>
    <col width="10" customWidth="1" style="64" min="4" max="4"/>
    <col width="96" customWidth="1" style="64" min="5" max="5"/>
    <col width="30" customWidth="1" style="64" min="6" max="6"/>
    <col width="12" customWidth="1" style="64" min="7" max="8"/>
    <col width="10" customWidth="1" style="64" min="9" max="9"/>
    <col width="8" customWidth="1" style="64" min="10" max="10"/>
    <col width="34" customWidth="1" style="64" min="11" max="11"/>
  </cols>
  <sheetData>
    <row r="1" ht="19.7" customHeight="1" s="65">
      <c r="A1" s="66" t="inlineStr">
        <is>
          <t>CONFIG  -  every parameter in its own labelled cell</t>
        </is>
      </c>
    </row>
    <row r="2" ht="15" customHeight="1" s="65">
      <c r="A2" s="104" t="inlineStr">
        <is>
          <t>LEGEND:  yellow / blue = EDIT THESE.  black = formula, do not edit.  A changed value takes effect on the NEXT TIMER TICK - no restart, no VBA edit.</t>
        </is>
      </c>
    </row>
    <row r="3" ht="15" customHeight="1" s="65">
      <c r="A3" s="67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65">
      <c r="A4" s="67" t="inlineStr">
        <is>
          <t>VBA finds a parameter by matching column A exactly, so you may insert or reorder rows freely - but never rename a parameter in column A.</t>
        </is>
      </c>
    </row>
    <row r="5" ht="15" customHeight="1" s="65">
      <c r="A5" s="104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65">
      <c r="A7" s="105" t="inlineStr">
        <is>
          <t>ENGINE  /  SAMPLING</t>
        </is>
      </c>
      <c r="B7" s="105" t="n"/>
      <c r="C7" s="105" t="n"/>
      <c r="D7" s="105" t="n"/>
      <c r="E7" s="105" t="n"/>
    </row>
    <row r="8" ht="15" customHeight="1" s="65">
      <c r="A8" s="106" t="inlineStr">
        <is>
          <t>Parameter</t>
        </is>
      </c>
      <c r="B8" s="106" t="inlineStr">
        <is>
          <t>Value</t>
        </is>
      </c>
      <c r="C8" s="106" t="inlineStr">
        <is>
          <t>Default</t>
        </is>
      </c>
      <c r="D8" s="106" t="inlineStr">
        <is>
          <t>Units</t>
        </is>
      </c>
      <c r="E8" s="106" t="inlineStr">
        <is>
          <t>Meaning</t>
        </is>
      </c>
    </row>
    <row r="9" ht="15" customHeight="1" s="65">
      <c r="A9" s="99" t="inlineStr">
        <is>
          <t>CAPTURE_MS</t>
        </is>
      </c>
      <c r="B9" s="76" t="n">
        <v>100</v>
      </c>
      <c r="C9" s="84" t="n">
        <v>100</v>
      </c>
      <c r="D9" s="84" t="inlineStr">
        <is>
          <t>ms</t>
        </is>
      </c>
      <c r="E9" s="107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65">
      <c r="A10" s="99" t="inlineStr">
        <is>
          <t>STORE_MIN_INTERVAL_MS</t>
        </is>
      </c>
      <c r="B10" s="76" t="n">
        <v>0</v>
      </c>
      <c r="C10" s="84" t="n">
        <v>0</v>
      </c>
      <c r="D10" s="84" t="inlineStr">
        <is>
          <t>ms</t>
        </is>
      </c>
      <c r="E10" s="107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65">
      <c r="A11" s="99" t="inlineStr">
        <is>
          <t>PRICE_REFRESH_MS</t>
        </is>
      </c>
      <c r="B11" s="76" t="n">
        <v>500</v>
      </c>
      <c r="C11" s="84" t="n">
        <v>500</v>
      </c>
      <c r="D11" s="84" t="inlineStr">
        <is>
          <t>ms</t>
        </is>
      </c>
      <c r="E11" s="107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65">
      <c r="A12" s="99" t="inlineStr">
        <is>
          <t>CONFIG_REFRESH_MS</t>
        </is>
      </c>
      <c r="B12" s="76" t="n">
        <v>1000</v>
      </c>
      <c r="C12" s="84" t="n">
        <v>1000</v>
      </c>
      <c r="D12" s="84" t="inlineStr">
        <is>
          <t>ms</t>
        </is>
      </c>
      <c r="E12" s="107" t="inlineStr">
        <is>
          <t>How often this sheet is re-read. A value changed here takes effect within this long - no restart, no VBA edit.</t>
        </is>
      </c>
    </row>
    <row r="13" ht="15" customHeight="1" s="65">
      <c r="A13" s="99" t="inlineStr">
        <is>
          <t>RTD_THROTTLE_MS</t>
        </is>
      </c>
      <c r="B13" s="76" t="n">
        <v>100</v>
      </c>
      <c r="C13" s="84" t="n">
        <v>100</v>
      </c>
      <c r="D13" s="84" t="inlineStr">
        <is>
          <t>ms</t>
        </is>
      </c>
      <c r="E13" s="107" t="inlineStr">
        <is>
          <t>Application.RTD.ThrottleInterval set on start. Match it to CAPTURE_MS. Excel's default is 2000.</t>
        </is>
      </c>
    </row>
    <row r="14" ht="15" customHeight="1" s="65">
      <c r="A14" s="99" t="inlineStr">
        <is>
          <t>WATCHDOG_SEC</t>
        </is>
      </c>
      <c r="B14" s="76" t="n">
        <v>5</v>
      </c>
      <c r="C14" s="84" t="n">
        <v>5</v>
      </c>
      <c r="D14" s="84" t="inlineStr">
        <is>
          <t>s</t>
        </is>
      </c>
      <c r="E14" s="107" t="inlineStr">
        <is>
          <t>Application.OnTime watchdog. Re-arms the high-resolution timer if Excel killed it (a modal dialog will) and picks up a changed CAPTURE_MS.</t>
        </is>
      </c>
    </row>
    <row r="15" ht="15" customHeight="1" s="65">
      <c r="A15" s="99" t="inlineStr">
        <is>
          <t>STALE_SEC</t>
        </is>
      </c>
      <c r="B15" s="76" t="n">
        <v>15</v>
      </c>
      <c r="C15" s="84" t="n">
        <v>15</v>
      </c>
      <c r="D15" s="84" t="inlineStr">
        <is>
          <t>s</t>
        </is>
      </c>
      <c r="E15" s="107" t="inlineStr">
        <is>
          <t>No new quote id for this long =&gt; feed marked STALE and alerts go silent.</t>
        </is>
      </c>
    </row>
    <row r="16" ht="15" customHeight="1" s="65">
      <c r="A16" s="99" t="inlineStr">
        <is>
          <t>FLUSH_SEC</t>
        </is>
      </c>
      <c r="B16" s="76" t="n">
        <v>60</v>
      </c>
      <c r="C16" s="84" t="n">
        <v>60</v>
      </c>
      <c r="D16" s="84" t="inlineStr">
        <is>
          <t>s</t>
        </is>
      </c>
      <c r="E16" s="107" t="inlineStr">
        <is>
          <t>How often the recovery snapshot is written to the hidden Buffer sheet.</t>
        </is>
      </c>
    </row>
    <row r="17" ht="15" customHeight="1" s="65">
      <c r="A17" s="99" t="inlineStr">
        <is>
          <t>FLUSH_DECIMATE_MS</t>
        </is>
      </c>
      <c r="B17" s="76" t="n">
        <v>1000</v>
      </c>
      <c r="C17" s="84" t="n">
        <v>1000</v>
      </c>
      <c r="D17" s="84" t="inlineStr">
        <is>
          <t>ms</t>
        </is>
      </c>
      <c r="E17" s="107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65">
      <c r="A18" s="99" t="inlineStr">
        <is>
          <t>BUFFER_CAPACITY</t>
        </is>
      </c>
      <c r="B18" s="76" t="n">
        <v>80000</v>
      </c>
      <c r="C18" s="84" t="n">
        <v>80000</v>
      </c>
      <c r="D18" s="84" t="inlineStr">
        <is>
          <t>samples</t>
        </is>
      </c>
      <c r="E18" s="107" t="inlineStr">
        <is>
          <t>Circular-buffer capacity per spread. 4 spreads x 80,000 x 16 bytes is about 5 MB of VBA array, held in memory, not in cells.</t>
        </is>
      </c>
    </row>
    <row r="19" ht="15" customHeight="1" s="65">
      <c r="A19" s="99" t="inlineStr">
        <is>
          <t>TICK_ARCHIVE_ENABLED</t>
        </is>
      </c>
      <c r="B19" s="76" t="b">
        <v>1</v>
      </c>
      <c r="C19" s="84" t="b">
        <v>1</v>
      </c>
      <c r="D19" s="84" t="inlineStr">
        <is>
          <t>bool</t>
        </is>
      </c>
      <c r="E19" s="107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65">
      <c r="A20" s="99" t="inlineStr">
        <is>
          <t>TICK_ARCHIVE_PATH</t>
        </is>
      </c>
      <c r="B20" s="108" t="n"/>
      <c r="C20" s="84" t="n"/>
      <c r="D20" s="84" t="inlineStr">
        <is>
          <t>folder</t>
        </is>
      </c>
      <c r="E20" s="107" t="inlineStr">
        <is>
          <t>Folder for the tick CSVs. Blank = a 'ticks' folder beside the workbook. One file per spread per day.</t>
        </is>
      </c>
    </row>
    <row r="21" ht="15" customHeight="1" s="65">
      <c r="A21" s="99" t="inlineStr">
        <is>
          <t>TICK_ARCHIVE_BATCH</t>
        </is>
      </c>
      <c r="B21" s="76" t="n">
        <v>500</v>
      </c>
      <c r="C21" s="84" t="n">
        <v>500</v>
      </c>
      <c r="D21" s="84" t="inlineStr">
        <is>
          <t>lines</t>
        </is>
      </c>
      <c r="E21" s="107" t="inlineStr">
        <is>
          <t>Lines buffered in memory before a file write, so archiving never stalls the capture timer.</t>
        </is>
      </c>
    </row>
    <row r="22"/>
    <row r="23" ht="15" customHeight="1" s="65">
      <c r="A23" s="105" t="inlineStr">
        <is>
          <t>WINDOW  /  STATISTICS</t>
        </is>
      </c>
      <c r="B23" s="105" t="n"/>
      <c r="C23" s="105" t="n"/>
      <c r="D23" s="105" t="n"/>
      <c r="E23" s="105" t="n"/>
    </row>
    <row r="24" ht="15" customHeight="1" s="65">
      <c r="A24" s="106" t="inlineStr">
        <is>
          <t>Parameter</t>
        </is>
      </c>
      <c r="B24" s="106" t="inlineStr">
        <is>
          <t>Value</t>
        </is>
      </c>
      <c r="C24" s="106" t="inlineStr">
        <is>
          <t>Default</t>
        </is>
      </c>
      <c r="D24" s="106" t="inlineStr">
        <is>
          <t>Units</t>
        </is>
      </c>
      <c r="E24" s="106" t="inlineStr">
        <is>
          <t>Meaning</t>
        </is>
      </c>
    </row>
    <row r="25" ht="15" customHeight="1" s="65">
      <c r="A25" s="99" t="inlineStr">
        <is>
          <t>LOOKBACK_MIN</t>
        </is>
      </c>
      <c r="B25" s="76" t="n">
        <v>120</v>
      </c>
      <c r="C25" s="84" t="n">
        <v>120</v>
      </c>
      <c r="D25" s="84" t="inlineStr">
        <is>
          <t>min</t>
        </is>
      </c>
      <c r="E25" s="107" t="inlineStr">
        <is>
          <t>Rolling window width (90 or 120). Changing it re-evaluates stored history on the next stats refresh and re-applies the warm-up gates.</t>
        </is>
      </c>
    </row>
    <row r="26" ht="15" customHeight="1" s="65">
      <c r="A26" s="99" t="inlineStr">
        <is>
          <t>STATS_REFRESH_MIN</t>
        </is>
      </c>
      <c r="B26" s="76" t="n">
        <v>5</v>
      </c>
      <c r="C26" s="84" t="n">
        <v>5</v>
      </c>
      <c r="D26" s="84" t="inlineStr">
        <is>
          <t>min</t>
        </is>
      </c>
      <c r="E26" s="107" t="inlineStr">
        <is>
          <t>How often mean/sigma are recomputed and re-published. Held FROZEN in between; live z is measured against the frozen values.</t>
        </is>
      </c>
    </row>
    <row r="27" ht="15" customHeight="1" s="65">
      <c r="A27" s="99" t="inlineStr">
        <is>
          <t>MIN_SAMPLES</t>
        </is>
      </c>
      <c r="B27" s="76" t="n">
        <v>300</v>
      </c>
      <c r="C27" s="84" t="n">
        <v>300</v>
      </c>
      <c r="D27" s="84" t="inlineStr">
        <is>
          <t>quotes</t>
        </is>
      </c>
      <c r="E27" s="107" t="inlineStr">
        <is>
          <t>Warm-up gate 1. Quotes needed before any z is shown.</t>
        </is>
      </c>
    </row>
    <row r="28" ht="15" customHeight="1" s="65">
      <c r="A28" s="99" t="inlineStr">
        <is>
          <t>MIN_HISTORY_MIN</t>
        </is>
      </c>
      <c r="B28" s="76" t="n">
        <v>120</v>
      </c>
      <c r="C28" s="84" t="n">
        <v>120</v>
      </c>
      <c r="D28" s="84" t="inlineStr">
        <is>
          <t>min</t>
        </is>
      </c>
      <c r="E28" s="107" t="inlineStr">
        <is>
          <t>Warm-up gate 2. Elapsed collection needed before any z is shown. BOTH gates must pass.</t>
        </is>
      </c>
    </row>
    <row r="29" ht="15" customHeight="1" s="65">
      <c r="A29" s="99" t="inlineStr">
        <is>
          <t>MIN_SIGMA</t>
        </is>
      </c>
      <c r="B29" s="76" t="n">
        <v>0</v>
      </c>
      <c r="C29" s="84" t="n">
        <v>0</v>
      </c>
      <c r="D29" s="84" t="inlineStr">
        <is>
          <t>spread</t>
        </is>
      </c>
      <c r="E29" s="107" t="inlineStr">
        <is>
          <t>Sigma floor. Below this the window is degenerate and NO z is shown. Set once sigma has actually been measured.</t>
        </is>
      </c>
    </row>
    <row r="30" ht="15" customHeight="1" s="65">
      <c r="A30" s="99" t="inlineStr">
        <is>
          <t>MAX_ABS_Z</t>
        </is>
      </c>
      <c r="B30" s="76" t="n">
        <v>25</v>
      </c>
      <c r="C30" s="84" t="n">
        <v>25</v>
      </c>
      <c r="D30" s="84" t="inlineStr">
        <is>
          <t>z</t>
        </is>
      </c>
      <c r="E30" s="107" t="inlineStr">
        <is>
          <t>Absurd-z guard. Above this, show 'no usable z' rather than a number.</t>
        </is>
      </c>
    </row>
    <row r="31"/>
    <row r="32" ht="15" customHeight="1" s="65">
      <c r="A32" s="105" t="inlineStr">
        <is>
          <t>SIGNAL THRESHOLDS</t>
        </is>
      </c>
      <c r="B32" s="105" t="n"/>
      <c r="C32" s="105" t="n"/>
      <c r="D32" s="105" t="n"/>
      <c r="E32" s="105" t="n"/>
    </row>
    <row r="33" ht="15" customHeight="1" s="65">
      <c r="A33" s="106" t="inlineStr">
        <is>
          <t>Parameter</t>
        </is>
      </c>
      <c r="B33" s="106" t="inlineStr">
        <is>
          <t>Value</t>
        </is>
      </c>
      <c r="C33" s="106" t="inlineStr">
        <is>
          <t>Default</t>
        </is>
      </c>
      <c r="D33" s="106" t="inlineStr">
        <is>
          <t>Units</t>
        </is>
      </c>
      <c r="E33" s="106" t="inlineStr">
        <is>
          <t>Meaning</t>
        </is>
      </c>
    </row>
    <row r="34" ht="15" customHeight="1" s="65">
      <c r="A34" s="99" t="inlineStr">
        <is>
          <t>ENTRY_Z</t>
        </is>
      </c>
      <c r="B34" s="109" t="n">
        <v>2.5</v>
      </c>
      <c r="C34" s="110" t="n">
        <v>2.5</v>
      </c>
      <c r="D34" s="84" t="inlineStr">
        <is>
          <t>z</t>
        </is>
      </c>
      <c r="E34" s="107" t="inlineStr">
        <is>
          <t>Highlight and chime at or above this |z|.</t>
        </is>
      </c>
    </row>
    <row r="35" ht="15" customHeight="1" s="65">
      <c r="A35" s="99" t="inlineStr">
        <is>
          <t>MAX_ENTRY_Z</t>
        </is>
      </c>
      <c r="B35" s="109" t="n">
        <v>4.5</v>
      </c>
      <c r="C35" s="110" t="n">
        <v>4.5</v>
      </c>
      <c r="D35" s="84" t="inlineStr">
        <is>
          <t>z</t>
        </is>
      </c>
      <c r="E35" s="107" t="inlineStr">
        <is>
          <t>Entry CEILING. At or above this, do NOT highlight - that is a momentum spike, not a reversion setup. Keep the band at least 1 sigma wide.</t>
        </is>
      </c>
    </row>
    <row r="36" ht="15" customHeight="1" s="65">
      <c r="A36" s="99" t="inlineStr">
        <is>
          <t>THIN_FEED_QPM</t>
        </is>
      </c>
      <c r="B36" s="76" t="n">
        <v>6</v>
      </c>
      <c r="C36" s="84" t="n">
        <v>6</v>
      </c>
      <c r="D36" s="84" t="inlineStr">
        <is>
          <t>q/min</t>
        </is>
      </c>
      <c r="E36" s="107" t="inlineStr">
        <is>
          <t>Feed rate at or below which the quotes/min display turns amber.</t>
        </is>
      </c>
    </row>
    <row r="37"/>
    <row r="38" ht="15" customHeight="1" s="65">
      <c r="A38" s="105" t="inlineStr">
        <is>
          <t>SIZING  /  COSTS</t>
        </is>
      </c>
      <c r="B38" s="105" t="n"/>
      <c r="C38" s="105" t="n"/>
      <c r="D38" s="105" t="n"/>
      <c r="E38" s="105" t="n"/>
    </row>
    <row r="39" ht="15" customHeight="1" s="65">
      <c r="A39" s="106" t="inlineStr">
        <is>
          <t>Parameter</t>
        </is>
      </c>
      <c r="B39" s="106" t="inlineStr">
        <is>
          <t>Value</t>
        </is>
      </c>
      <c r="C39" s="106" t="inlineStr">
        <is>
          <t>Default</t>
        </is>
      </c>
      <c r="D39" s="106" t="inlineStr">
        <is>
          <t>Units</t>
        </is>
      </c>
      <c r="E39" s="106" t="inlineStr">
        <is>
          <t>Meaning</t>
        </is>
      </c>
    </row>
    <row r="40" ht="15" customHeight="1" s="65">
      <c r="A40" s="99" t="inlineStr">
        <is>
          <t>LOTS</t>
        </is>
      </c>
      <c r="B40" s="76" t="n">
        <v>1</v>
      </c>
      <c r="C40" s="84" t="n">
        <v>1</v>
      </c>
      <c r="D40" s="84" t="inlineStr">
        <is>
          <t>lots</t>
        </is>
      </c>
      <c r="E40" s="107" t="inlineStr">
        <is>
          <t>Contracts per leg, for the cost and take-profit maths.</t>
        </is>
      </c>
    </row>
    <row r="41" ht="15" customHeight="1" s="65">
      <c r="A41" s="99" t="inlineStr">
        <is>
          <t>TARGET_NET_USD</t>
        </is>
      </c>
      <c r="B41" s="76" t="n">
        <v>150</v>
      </c>
      <c r="C41" s="84" t="n">
        <v>150</v>
      </c>
      <c r="D41" s="84" t="inlineStr">
        <is>
          <t>USD</t>
        </is>
      </c>
      <c r="E41" s="107" t="inlineStr">
        <is>
          <t>Desired profit AFTER all costs. Drives the take-profit level.</t>
        </is>
      </c>
    </row>
    <row r="42" ht="15" customHeight="1" s="65">
      <c r="A42" s="99" t="inlineStr">
        <is>
          <t>EDGE_MULTIPLE</t>
        </is>
      </c>
      <c r="B42" s="109" t="n">
        <v>1.5</v>
      </c>
      <c r="C42" s="110" t="n">
        <v>1.5</v>
      </c>
      <c r="D42" s="84" t="inlineStr">
        <is>
          <t>x</t>
        </is>
      </c>
      <c r="E42" s="107" t="inlineStr">
        <is>
          <t>Expected capture must clear the round trip by this multiple.</t>
        </is>
      </c>
    </row>
    <row r="43" ht="15" customHeight="1" s="65">
      <c r="A43" s="99" t="inlineStr">
        <is>
          <t>RATE_ORIENT_PER_SIDE</t>
        </is>
      </c>
      <c r="B43" s="109" t="n">
        <v>0.35</v>
      </c>
      <c r="C43" s="110" t="n">
        <v>0.35</v>
      </c>
      <c r="D43" s="84" t="inlineStr">
        <is>
          <t>USD</t>
        </is>
      </c>
      <c r="E43" s="107" t="inlineStr">
        <is>
          <t>Orient clearing + execution, per contract per side. Source: Orient rate card 2026-08-21, Ver.26.8.17.</t>
        </is>
      </c>
    </row>
    <row r="44" ht="15" customHeight="1" s="65">
      <c r="A44" s="99" t="inlineStr">
        <is>
          <t>RATE_FIX_PER_SIDE</t>
        </is>
      </c>
      <c r="B44" s="109" t="n">
        <v>0.06</v>
      </c>
      <c r="C44" s="110" t="n">
        <v>0.06</v>
      </c>
      <c r="D44" s="84" t="inlineStr">
        <is>
          <t>USD</t>
        </is>
      </c>
      <c r="E44" s="107" t="inlineStr">
        <is>
          <t>FIX / platform transaction fee, per contract per side. Same rate card.</t>
        </is>
      </c>
    </row>
    <row r="45" ht="15" customHeight="1" s="65">
      <c r="A45" s="99" t="inlineStr">
        <is>
          <t>RATE_CME_PER_SIDE</t>
        </is>
      </c>
      <c r="B45" s="109" t="n">
        <v>1.5</v>
      </c>
      <c r="C45" s="110" t="n">
        <v>1.5</v>
      </c>
      <c r="D45" s="84" t="inlineStr">
        <is>
          <t>USD</t>
        </is>
      </c>
      <c r="E45" s="107" t="inlineStr">
        <is>
          <t>CME exchange + clearing, per contract per side. Same rate card.</t>
        </is>
      </c>
    </row>
    <row r="46"/>
    <row r="47" ht="15" customHeight="1" s="65">
      <c r="A47" s="105" t="inlineStr">
        <is>
          <t>AUDIBLE ALERT</t>
        </is>
      </c>
      <c r="B47" s="105" t="n"/>
      <c r="C47" s="105" t="n"/>
      <c r="D47" s="105" t="n"/>
      <c r="E47" s="105" t="n"/>
    </row>
    <row r="48" ht="15" customHeight="1" s="65">
      <c r="A48" s="106" t="inlineStr">
        <is>
          <t>Parameter</t>
        </is>
      </c>
      <c r="B48" s="106" t="inlineStr">
        <is>
          <t>Value</t>
        </is>
      </c>
      <c r="C48" s="106" t="inlineStr">
        <is>
          <t>Default</t>
        </is>
      </c>
      <c r="D48" s="106" t="inlineStr">
        <is>
          <t>Units</t>
        </is>
      </c>
      <c r="E48" s="106" t="inlineStr">
        <is>
          <t>Meaning</t>
        </is>
      </c>
    </row>
    <row r="49" ht="15" customHeight="1" s="65">
      <c r="A49" s="99" t="inlineStr">
        <is>
          <t>ALERT_ENABLED</t>
        </is>
      </c>
      <c r="B49" s="76" t="b">
        <v>1</v>
      </c>
      <c r="C49" s="84" t="b">
        <v>1</v>
      </c>
      <c r="D49" s="84" t="inlineStr">
        <is>
          <t>bool</t>
        </is>
      </c>
      <c r="E49" s="107" t="inlineStr">
        <is>
          <t>MASTER MUTE. FALSE silences every sound.</t>
        </is>
      </c>
    </row>
    <row r="50" ht="15" customHeight="1" s="65">
      <c r="A50" s="99" t="inlineStr">
        <is>
          <t>ALERT_SOUND_PATH</t>
        </is>
      </c>
      <c r="B50" s="108" t="inlineStr">
        <is>
          <t>C:\Windows\Media\chimes.wav</t>
        </is>
      </c>
      <c r="C50" s="84" t="inlineStr">
        <is>
          <t>C:\Windows\Media\chimes.wav</t>
        </is>
      </c>
      <c r="D50" s="84" t="inlineStr">
        <is>
          <t>path</t>
        </is>
      </c>
      <c r="E50" s="107" t="inlineStr">
        <is>
          <t>Single short 'ting' played on an entry-band crossing.</t>
        </is>
      </c>
    </row>
    <row r="51" ht="15" customHeight="1" s="65">
      <c r="A51" s="99" t="inlineStr">
        <is>
          <t>ALERT_SOUND_PATH_CEILING</t>
        </is>
      </c>
      <c r="B51" s="108" t="inlineStr">
        <is>
          <t>C:\Windows\Media\notify.wav</t>
        </is>
      </c>
      <c r="C51" s="84" t="inlineStr">
        <is>
          <t>C:\Windows\Media\notify.wav</t>
        </is>
      </c>
      <c r="D51" s="84" t="inlineStr">
        <is>
          <t>path</t>
        </is>
      </c>
      <c r="E51" s="107" t="inlineStr">
        <is>
          <t>Distinct tone for crossing MAX_ENTRY_Z. That is 'stand down', not 'get in'.</t>
        </is>
      </c>
    </row>
    <row r="52" ht="15" customHeight="1" s="65">
      <c r="A52" s="99" t="inlineStr">
        <is>
          <t>ALERT_REARM_MARGIN</t>
        </is>
      </c>
      <c r="B52" s="109" t="n">
        <v>0.25</v>
      </c>
      <c r="C52" s="110" t="n">
        <v>0.25</v>
      </c>
      <c r="D52" s="84" t="inlineStr">
        <is>
          <t>z</t>
        </is>
      </c>
      <c r="E52" s="107" t="inlineStr">
        <is>
          <t>Hysteresis. Do not re-arm until |z| falls back below ENTRY_Z - this margin.</t>
        </is>
      </c>
    </row>
    <row r="53" ht="15" customHeight="1" s="65">
      <c r="A53" s="99" t="inlineStr">
        <is>
          <t>ALERT_COOLDOWN_SEC</t>
        </is>
      </c>
      <c r="B53" s="76" t="n">
        <v>60</v>
      </c>
      <c r="C53" s="84" t="n">
        <v>60</v>
      </c>
      <c r="D53" s="84" t="inlineStr">
        <is>
          <t>s</t>
        </is>
      </c>
      <c r="E53" s="107" t="inlineStr">
        <is>
          <t>Minimum seconds between alerts for the same spread.</t>
        </is>
      </c>
    </row>
    <row r="54" ht="15" customHeight="1" s="65">
      <c r="A54" s="99" t="inlineStr">
        <is>
          <t>ALERT_ONLY_IF_EDGE_PASSES</t>
        </is>
      </c>
      <c r="B54" s="76" t="b">
        <v>1</v>
      </c>
      <c r="C54" s="84" t="b">
        <v>1</v>
      </c>
      <c r="D54" s="84" t="inlineStr">
        <is>
          <t>bool</t>
        </is>
      </c>
      <c r="E54" s="107" t="inlineStr">
        <is>
          <t>TRUE = stay silent when the edge filter fails. A sound for a trade you should not take trains you to ignore the sound.</t>
        </is>
      </c>
    </row>
    <row r="55" ht="15" customHeight="1" s="65">
      <c r="A55" s="99" t="inlineStr">
        <is>
          <t>ALERT_SPEAK</t>
        </is>
      </c>
      <c r="B55" s="76" t="b">
        <v>0</v>
      </c>
      <c r="C55" s="84" t="b">
        <v>0</v>
      </c>
      <c r="D55" s="84" t="inlineStr">
        <is>
          <t>bool</t>
        </is>
      </c>
      <c r="E55" s="107" t="inlineStr">
        <is>
          <t>TRUE also speaks the spread name (Application.Speech). Useful when watching four at once.</t>
        </is>
      </c>
    </row>
    <row r="56"/>
    <row r="57" ht="15" customHeight="1" s="65">
      <c r="A57" s="105" t="inlineStr">
        <is>
          <t>PERSISTENCE  /  LOGGING</t>
        </is>
      </c>
      <c r="B57" s="105" t="n"/>
      <c r="C57" s="105" t="n"/>
      <c r="D57" s="105" t="n"/>
      <c r="E57" s="105" t="n"/>
    </row>
    <row r="58" ht="15" customHeight="1" s="65">
      <c r="A58" s="106" t="inlineStr">
        <is>
          <t>Parameter</t>
        </is>
      </c>
      <c r="B58" s="106" t="inlineStr">
        <is>
          <t>Value</t>
        </is>
      </c>
      <c r="C58" s="106" t="inlineStr">
        <is>
          <t>Default</t>
        </is>
      </c>
      <c r="D58" s="106" t="inlineStr">
        <is>
          <t>Units</t>
        </is>
      </c>
      <c r="E58" s="106" t="inlineStr">
        <is>
          <t>Meaning</t>
        </is>
      </c>
    </row>
    <row r="59" ht="15" customHeight="1" s="65">
      <c r="A59" s="99" t="inlineStr">
        <is>
          <t>WARM_START_ENABLED</t>
        </is>
      </c>
      <c r="B59" s="76" t="b">
        <v>1</v>
      </c>
      <c r="C59" s="84" t="b">
        <v>1</v>
      </c>
      <c r="D59" s="84" t="inlineStr">
        <is>
          <t>bool</t>
        </is>
      </c>
      <c r="E59" s="107" t="inlineStr">
        <is>
          <t>On open, reload the flushed buffer so a restart does not cost another two hours of warm-up.</t>
        </is>
      </c>
    </row>
    <row r="60" ht="15" customHeight="1" s="65">
      <c r="A60" s="99" t="inlineStr">
        <is>
          <t>WARM_START_MAX_AGE_MIN</t>
        </is>
      </c>
      <c r="B60" s="76" t="n">
        <v>180</v>
      </c>
      <c r="C60" s="84" t="n">
        <v>180</v>
      </c>
      <c r="D60" s="84" t="inlineStr">
        <is>
          <t>min</t>
        </is>
      </c>
      <c r="E60" s="107" t="inlineStr">
        <is>
          <t>Only reload if the newest saved sample is younger than this.</t>
        </is>
      </c>
    </row>
    <row r="61" ht="15" customHeight="1" s="65">
      <c r="A61" s="99" t="inlineStr">
        <is>
          <t>LOG_ENABLED</t>
        </is>
      </c>
      <c r="B61" s="76" t="b">
        <v>1</v>
      </c>
      <c r="C61" s="84" t="b">
        <v>1</v>
      </c>
      <c r="D61" s="84" t="inlineStr">
        <is>
          <t>bool</t>
        </is>
      </c>
      <c r="E61" s="107" t="inlineStr">
        <is>
          <t>Write signal events to the Log sheet.</t>
        </is>
      </c>
    </row>
    <row r="62" ht="15" customHeight="1" s="65">
      <c r="A62" s="99" t="inlineStr">
        <is>
          <t>LOG_MAX_ROWS</t>
        </is>
      </c>
      <c r="B62" s="76" t="n">
        <v>20000</v>
      </c>
      <c r="C62" s="84" t="n">
        <v>20000</v>
      </c>
      <c r="D62" s="84" t="inlineStr">
        <is>
          <t>rows</t>
        </is>
      </c>
      <c r="E62" s="107" t="inlineStr">
        <is>
          <t>Log is trimmed to this many rows.</t>
        </is>
      </c>
    </row>
    <row r="63"/>
    <row r="64" ht="15" customHeight="1" s="65">
      <c r="A64" s="105" t="inlineStr">
        <is>
          <t>DERIVED COMMISSION  (formulas - do not edit)</t>
        </is>
      </c>
      <c r="B64" s="111" t="n"/>
      <c r="C64" s="111" t="n"/>
      <c r="D64" s="111" t="n"/>
      <c r="E64" s="111" t="n"/>
    </row>
    <row r="65" ht="15" customHeight="1" s="65">
      <c r="A65" s="106" t="inlineStr">
        <is>
          <t>Parameter</t>
        </is>
      </c>
      <c r="B65" s="106" t="inlineStr">
        <is>
          <t>Value</t>
        </is>
      </c>
      <c r="C65" s="106" t="inlineStr">
        <is>
          <t>Default</t>
        </is>
      </c>
      <c r="D65" s="106" t="inlineStr">
        <is>
          <t>Units</t>
        </is>
      </c>
      <c r="E65" s="106" t="inlineStr">
        <is>
          <t>Meaning</t>
        </is>
      </c>
    </row>
    <row r="66" ht="15" customHeight="1" s="65">
      <c r="A66" s="99" t="inlineStr">
        <is>
          <t>COMMISSION_CONSERVATIVE</t>
        </is>
      </c>
      <c r="B66" s="98">
        <f>2*(B43+B44+B45)</f>
        <v/>
      </c>
      <c r="E66" s="112" t="inlineStr">
        <is>
          <t>Per lot PER LEG, round turn, reading CME's 1.50 as per SIDE. This is the conservative reading and the one to use.</t>
        </is>
      </c>
    </row>
    <row r="67" ht="15" customHeight="1" s="65">
      <c r="A67" s="99" t="inlineStr">
        <is>
          <t>COMMISSION_IF_CME_PER_RT</t>
        </is>
      </c>
      <c r="B67" s="96">
        <f>2*(B43+B44)+B45</f>
        <v/>
      </c>
      <c r="E67" s="112" t="inlineStr">
        <is>
          <t>The same figure if CME's 1.50 turns out to be per ROUND TURN rather than per side.</t>
        </is>
      </c>
    </row>
    <row r="68" ht="15" customHeight="1" s="65">
      <c r="A68" s="99" t="inlineStr">
        <is>
          <t>COMMISSION_BASIS</t>
        </is>
      </c>
      <c r="B68" s="76" t="inlineStr">
        <is>
          <t>CONSERVATIVE</t>
        </is>
      </c>
      <c r="C68" s="84" t="inlineStr">
        <is>
          <t>CONSERVATIVE</t>
        </is>
      </c>
      <c r="E68" s="112" t="inlineStr">
        <is>
          <t>CONSERVATIVE or CME_PER_RT. An understated cost model approves losing trades invisibly; an overstated one only refuses trades, visibly. Leave it on CONSERVATIVE.</t>
        </is>
      </c>
    </row>
    <row r="69" ht="15" customHeight="1" s="65">
      <c r="A69" s="99" t="inlineStr">
        <is>
          <t>COMMISSION_PER_LOT_ROUND_TURN</t>
        </is>
      </c>
      <c r="B69" s="98">
        <f>IF(B68="CME_PER_RT",B67,B66)</f>
        <v/>
      </c>
      <c r="E69" s="112" t="inlineStr">
        <is>
          <t>USD per lot per leg, round turn. This is what the cost model actually uses.</t>
        </is>
      </c>
    </row>
    <row r="70"/>
    <row r="71" ht="15" customHeight="1" s="65">
      <c r="A71" s="105" t="inlineStr">
        <is>
          <t>SPREAD_TABLE_START   -   up to 4 monitored spreads, one buffer each</t>
        </is>
      </c>
      <c r="B71" s="111" t="n"/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</row>
    <row r="72" ht="15" customHeight="1" s="65">
      <c r="A72" s="67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3" ht="32.8" customHeight="1" s="65">
      <c r="A73" s="106" t="inlineStr">
        <is>
          <t>Slot</t>
        </is>
      </c>
      <c r="B73" s="106" t="inlineStr">
        <is>
          <t>Enabled</t>
        </is>
      </c>
      <c r="C73" s="106" t="inlineStr">
        <is>
          <t>Display name</t>
        </is>
      </c>
      <c r="D73" s="106" t="inlineStr">
        <is>
          <t>Mode</t>
        </is>
      </c>
      <c r="E73" s="106" t="inlineStr">
        <is>
          <t>HEDGE_RATIO (beta)</t>
        </is>
      </c>
      <c r="F73" s="106" t="inlineStr">
        <is>
          <t>Beta stamped for pair</t>
        </is>
      </c>
      <c r="G73" s="106" t="inlineStr">
        <is>
          <t>USD per 1.00 of spread, per lot</t>
        </is>
      </c>
      <c r="H73" s="106" t="inlineStr">
        <is>
          <t>Contracts charged commission</t>
        </is>
      </c>
      <c r="I73" s="106" t="inlineStr">
        <is>
          <t>Tick size</t>
        </is>
      </c>
      <c r="J73" s="106" t="inlineStr">
        <is>
          <t>Decimals</t>
        </is>
      </c>
      <c r="K73" s="106" t="inlineStr">
        <is>
          <t>Listed equivalent (cost comparison)</t>
        </is>
      </c>
    </row>
    <row r="74" ht="15" customHeight="1" s="65">
      <c r="A74" s="75" t="inlineStr">
        <is>
          <t>SPREAD_1</t>
        </is>
      </c>
      <c r="B74" s="76" t="b">
        <v>1</v>
      </c>
      <c r="C74" s="108" t="inlineStr">
        <is>
          <t>BZ - CL  (Brent LDF - WTI)</t>
        </is>
      </c>
      <c r="D74" s="76" t="inlineStr">
        <is>
          <t>LEGGED</t>
        </is>
      </c>
      <c r="E74" s="113" t="n">
        <v>1</v>
      </c>
      <c r="F74" s="108" t="inlineStr">
        <is>
          <t>BZV6 / CLV6, derived 2026-08 (RELATED pair - no fair value, empirical mean only)</t>
        </is>
      </c>
      <c r="G74" s="114" t="n">
        <v>1000</v>
      </c>
      <c r="H74" s="115" t="n">
        <v>2</v>
      </c>
      <c r="I74" s="113" t="n">
        <v>0.01</v>
      </c>
      <c r="J74" s="115" t="n">
        <v>2</v>
      </c>
      <c r="K74" s="87" t="inlineStr">
        <is>
          <t>CL Oct26 - BZ Oct26 Inter-Product</t>
        </is>
      </c>
    </row>
    <row r="75" ht="15" customHeight="1" s="65">
      <c r="A75" s="75" t="inlineStr">
        <is>
          <t>SPREAD_2</t>
        </is>
      </c>
      <c r="B75" s="76" t="b">
        <v>1</v>
      </c>
      <c r="C75" s="108" t="inlineStr">
        <is>
          <t>HO/CL crack  (ULSD - WTI)</t>
        </is>
      </c>
      <c r="D75" s="76" t="inlineStr">
        <is>
          <t>LEGGED</t>
        </is>
      </c>
      <c r="E75" s="113" t="n">
        <v>1</v>
      </c>
      <c r="F75" s="108" t="inlineStr">
        <is>
          <t>HOV6 x42 / CLV6, 1:1 by design (crack, not a fitted beta)</t>
        </is>
      </c>
      <c r="G75" s="114" t="n">
        <v>1000</v>
      </c>
      <c r="H75" s="115" t="n">
        <v>2</v>
      </c>
      <c r="I75" s="113" t="n">
        <v>0.01</v>
      </c>
      <c r="J75" s="115" t="n">
        <v>2</v>
      </c>
      <c r="K75" s="87" t="inlineStr">
        <is>
          <t>Oct26 HO-CL Crack</t>
        </is>
      </c>
    </row>
    <row r="76" ht="15" customHeight="1" s="65">
      <c r="A76" s="75" t="inlineStr">
        <is>
          <t>SPREAD_3</t>
        </is>
      </c>
      <c r="B76" s="76" t="b">
        <v>1</v>
      </c>
      <c r="C76" s="108" t="inlineStr">
        <is>
          <t>3:2:1 crack  (2RB+1HO-3CL)/3</t>
        </is>
      </c>
      <c r="D76" s="76" t="inlineStr">
        <is>
          <t>LEGGED</t>
        </is>
      </c>
      <c r="E76" s="113" t="n">
        <v>1</v>
      </c>
      <c r="F76" s="108" t="inlineStr">
        <is>
          <t>RBV6/HOV6/CLV6, structural 3:2:1 - not a fitted beta</t>
        </is>
      </c>
      <c r="G76" s="114" t="n">
        <v>3000</v>
      </c>
      <c r="H76" s="115" t="n">
        <v>6</v>
      </c>
      <c r="I76" s="113" t="n">
        <v>0.01</v>
      </c>
      <c r="J76" s="115" t="n">
        <v>2</v>
      </c>
      <c r="K76" s="87" t="inlineStr">
        <is>
          <t>(none listed)</t>
        </is>
      </c>
    </row>
    <row r="77" ht="15" customHeight="1" s="65">
      <c r="A77" s="75" t="inlineStr">
        <is>
          <t>SPREAD_4</t>
        </is>
      </c>
      <c r="B77" s="76" t="b">
        <v>1</v>
      </c>
      <c r="C77" s="108" t="inlineStr">
        <is>
          <t>CL-BZ Inter-Product (listed)</t>
        </is>
      </c>
      <c r="D77" s="76" t="inlineStr">
        <is>
          <t>LISTED</t>
        </is>
      </c>
      <c r="E77" s="113" t="n">
        <v>1</v>
      </c>
      <c r="F77" s="108" t="inlineStr">
        <is>
          <t>Exchange-listed spread - beta not applicable</t>
        </is>
      </c>
      <c r="G77" s="114" t="n">
        <v>1000</v>
      </c>
      <c r="H77" s="115" t="n">
        <v>2</v>
      </c>
      <c r="I77" s="113" t="n">
        <v>0.01</v>
      </c>
      <c r="J77" s="115" t="n">
        <v>2</v>
      </c>
      <c r="K77" s="87" t="inlineStr">
        <is>
          <t>n/a - this IS the listed spread</t>
        </is>
      </c>
    </row>
    <row r="78"/>
    <row r="79" ht="15" customHeight="1" s="65">
      <c r="A79" s="116" t="inlineStr">
        <is>
          <t>HEDGE RATIO BELONGS TO THE PAIR. If the instruments change, beta must be re-derived - a stale beta silently redefines the series. Column F stamps what each beta was computed for.</t>
        </is>
      </c>
    </row>
    <row r="80" ht="15" customHeight="1" s="65">
      <c r="A80" s="67" t="inlineStr">
        <is>
          <t>Contracts charged: BZ-CL and the listed spread are 2 contracts per lot (one per leg); the 3:2:1 crack is 6 (2 RB + 1 HO + 3 CL).</t>
        </is>
      </c>
    </row>
    <row r="81" ht="15" customHeight="1" s="65">
      <c r="A81" s="67" t="inlineStr">
        <is>
          <t>USD per 1.00 of spread: NYMEX energy contracts are 1,000 bbl, so one cent of differential is $10 per leg per lot, i.e. $1,000 per 1.00.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64" min="1" max="1"/>
    <col width="34" customWidth="1" style="64" min="2" max="2"/>
    <col width="13" customWidth="1" style="64" min="3" max="8"/>
    <col width="60" customWidth="1" style="64" min="9" max="9"/>
  </cols>
  <sheetData>
    <row r="1" ht="16.15" customHeight="1" s="65">
      <c r="A1" s="117" t="inlineStr">
        <is>
          <t>FEED  -  hidden.  Every RTD() formula lives here.</t>
        </is>
      </c>
    </row>
    <row r="2" ht="15" customHeight="1" s="65">
      <c r="A2" s="71" t="inlineStr">
        <is>
          <t>Market</t>
        </is>
      </c>
      <c r="B2" s="118">
        <f>Dashboard!$C$4</f>
        <v/>
      </c>
    </row>
    <row r="3" ht="15" customHeight="1" s="65">
      <c r="A3" s="116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65">
      <c r="A5" s="119" t="inlineStr">
        <is>
          <t>INSTRUMENTS</t>
        </is>
      </c>
      <c r="B5" s="79" t="inlineStr">
        <is>
          <t>Instrument ID</t>
        </is>
      </c>
      <c r="C5" s="79" t="inlineStr">
        <is>
          <t>Bid</t>
        </is>
      </c>
      <c r="D5" s="79" t="inlineStr">
        <is>
          <t>Ask</t>
        </is>
      </c>
      <c r="E5" s="79" t="inlineStr">
        <is>
          <t>High</t>
        </is>
      </c>
      <c r="F5" s="79" t="inlineStr">
        <is>
          <t>Low</t>
        </is>
      </c>
      <c r="G5" s="79" t="inlineStr">
        <is>
          <t>Mid</t>
        </is>
      </c>
      <c r="H5" s="79" t="inlineStr">
        <is>
          <t>Width</t>
        </is>
      </c>
    </row>
    <row r="6" ht="15" customHeight="1" s="65">
      <c r="A6" s="81" t="inlineStr">
        <is>
          <t>RBV6</t>
        </is>
      </c>
      <c r="B6" s="120">
        <f>RTD("tt.rtd",,"Inst",$B$2,$A6)</f>
        <v/>
      </c>
      <c r="C6" s="120">
        <f>IFERROR(IF($B6="","",VALUE(RTD("tt.rtd",,$B6,"Bid"))),"")</f>
        <v/>
      </c>
      <c r="D6" s="120">
        <f>IFERROR(IF($B6="","",VALUE(RTD("tt.rtd",,$B6,"Ask"))),"")</f>
        <v/>
      </c>
      <c r="E6" s="120">
        <f>IFERROR(IF($B6="","",VALUE(RTD("tt.rtd",,$B6,"High"))),"")</f>
        <v/>
      </c>
      <c r="F6" s="120">
        <f>IFERROR(IF($B6="","",VALUE(RTD("tt.rtd",,$B6,"Low"))),"")</f>
        <v/>
      </c>
      <c r="G6" s="120">
        <f>IF(OR($C6="",$D6=""),"",($C6+$D6)/2)</f>
        <v/>
      </c>
      <c r="H6" s="120">
        <f>IF(OR($C6="",$D6=""),"",$D6-$C6)</f>
        <v/>
      </c>
      <c r="I6" s="121" t="inlineStr">
        <is>
          <t>RBOB Gasoline Oct26</t>
        </is>
      </c>
    </row>
    <row r="7" ht="15" customHeight="1" s="65">
      <c r="A7" s="81" t="inlineStr">
        <is>
          <t>HOV6</t>
        </is>
      </c>
      <c r="B7" s="120">
        <f>RTD("tt.rtd",,"Inst",$B$2,$A7)</f>
        <v/>
      </c>
      <c r="C7" s="120">
        <f>IFERROR(IF($B7="","",VALUE(RTD("tt.rtd",,$B7,"Bid"))),"")</f>
        <v/>
      </c>
      <c r="D7" s="120">
        <f>IFERROR(IF($B7="","",VALUE(RTD("tt.rtd",,$B7,"Ask"))),"")</f>
        <v/>
      </c>
      <c r="E7" s="120">
        <f>IFERROR(IF($B7="","",VALUE(RTD("tt.rtd",,$B7,"High"))),"")</f>
        <v/>
      </c>
      <c r="F7" s="120">
        <f>IFERROR(IF($B7="","",VALUE(RTD("tt.rtd",,$B7,"Low"))),"")</f>
        <v/>
      </c>
      <c r="G7" s="120">
        <f>IF(OR($C7="",$D7=""),"",($C7+$D7)/2)</f>
        <v/>
      </c>
      <c r="H7" s="120">
        <f>IF(OR($C7="",$D7=""),"",$D7-$C7)</f>
        <v/>
      </c>
      <c r="I7" s="121" t="inlineStr">
        <is>
          <t>NY Harbor ULSD Oct26</t>
        </is>
      </c>
    </row>
    <row r="8" ht="15" customHeight="1" s="65">
      <c r="A8" s="81" t="inlineStr">
        <is>
          <t>CLV6</t>
        </is>
      </c>
      <c r="B8" s="120">
        <f>RTD("tt.rtd",,"Inst",$B$2,$A8)</f>
        <v/>
      </c>
      <c r="C8" s="120">
        <f>IFERROR(IF($B8="","",VALUE(RTD("tt.rtd",,$B8,"Bid"))),"")</f>
        <v/>
      </c>
      <c r="D8" s="120">
        <f>IFERROR(IF($B8="","",VALUE(RTD("tt.rtd",,$B8,"Ask"))),"")</f>
        <v/>
      </c>
      <c r="E8" s="120">
        <f>IFERROR(IF($B8="","",VALUE(RTD("tt.rtd",,$B8,"High"))),"")</f>
        <v/>
      </c>
      <c r="F8" s="120">
        <f>IFERROR(IF($B8="","",VALUE(RTD("tt.rtd",,$B8,"Low"))),"")</f>
        <v/>
      </c>
      <c r="G8" s="120">
        <f>IF(OR($C8="",$D8=""),"",($C8+$D8)/2)</f>
        <v/>
      </c>
      <c r="H8" s="120">
        <f>IF(OR($C8="",$D8=""),"",$D8-$C8)</f>
        <v/>
      </c>
      <c r="I8" s="121" t="inlineStr">
        <is>
          <t>WTI Crude Oct26</t>
        </is>
      </c>
    </row>
    <row r="9" ht="15" customHeight="1" s="65">
      <c r="A9" s="81" t="inlineStr">
        <is>
          <t>BZV6</t>
        </is>
      </c>
      <c r="B9" s="120">
        <f>RTD("tt.rtd",,"Inst",$B$2,$A9)</f>
        <v/>
      </c>
      <c r="C9" s="120">
        <f>IFERROR(IF($B9="","",VALUE(RTD("tt.rtd",,$B9,"Bid"))),"")</f>
        <v/>
      </c>
      <c r="D9" s="120">
        <f>IFERROR(IF($B9="","",VALUE(RTD("tt.rtd",,$B9,"Ask"))),"")</f>
        <v/>
      </c>
      <c r="E9" s="120">
        <f>IFERROR(IF($B9="","",VALUE(RTD("tt.rtd",,$B9,"High"))),"")</f>
        <v/>
      </c>
      <c r="F9" s="120">
        <f>IFERROR(IF($B9="","",VALUE(RTD("tt.rtd",,$B9,"Low"))),"")</f>
        <v/>
      </c>
      <c r="G9" s="120">
        <f>IF(OR($C9="",$D9=""),"",($C9+$D9)/2)</f>
        <v/>
      </c>
      <c r="H9" s="120">
        <f>IF(OR($C9="",$D9=""),"",$D9-$C9)</f>
        <v/>
      </c>
      <c r="I9" s="121" t="inlineStr">
        <is>
          <t>Brent Last Day Financial Oct26</t>
        </is>
      </c>
    </row>
    <row r="10" ht="15" customHeight="1" s="65">
      <c r="A10" s="81" t="inlineStr">
        <is>
          <t>CL Oct26 - BZ Oct26 Inter-Product</t>
        </is>
      </c>
      <c r="B10" s="120">
        <f>RTD("tt.rtd",,"Inst",$B$2,$A10)</f>
        <v/>
      </c>
      <c r="C10" s="120">
        <f>IFERROR(IF($B10="","",VALUE(RTD("tt.rtd",,$B10,"Bid"))),"")</f>
        <v/>
      </c>
      <c r="D10" s="120">
        <f>IFERROR(IF($B10="","",VALUE(RTD("tt.rtd",,$B10,"Ask"))),"")</f>
        <v/>
      </c>
      <c r="E10" s="120">
        <f>IFERROR(IF($B10="","",VALUE(RTD("tt.rtd",,$B10,"High"))),"")</f>
        <v/>
      </c>
      <c r="F10" s="120">
        <f>IFERROR(IF($B10="","",VALUE(RTD("tt.rtd",,$B10,"Low"))),"")</f>
        <v/>
      </c>
      <c r="G10" s="120">
        <f>IF(OR($C10="",$D10=""),"",($C10+$D10)/2)</f>
        <v/>
      </c>
      <c r="H10" s="120">
        <f>IF(OR($C10="",$D10=""),"",$D10-$C10)</f>
        <v/>
      </c>
      <c r="I10" s="121" t="inlineStr">
        <is>
          <t>Exchange-listed inter-product spread</t>
        </is>
      </c>
    </row>
    <row r="11" ht="15" customHeight="1" s="65">
      <c r="A11" s="81" t="inlineStr">
        <is>
          <t>Oct26 HO-CL Crack</t>
        </is>
      </c>
      <c r="B11" s="120">
        <f>RTD("tt.rtd",,"Inst",$B$2,$A11)</f>
        <v/>
      </c>
      <c r="C11" s="120">
        <f>IFERROR(IF($B11="","",VALUE(RTD("tt.rtd",,$B11,"Bid"))),"")</f>
        <v/>
      </c>
      <c r="D11" s="120">
        <f>IFERROR(IF($B11="","",VALUE(RTD("tt.rtd",,$B11,"Ask"))),"")</f>
        <v/>
      </c>
      <c r="E11" s="120">
        <f>IFERROR(IF($B11="","",VALUE(RTD("tt.rtd",,$B11,"High"))),"")</f>
        <v/>
      </c>
      <c r="F11" s="120">
        <f>IFERROR(IF($B11="","",VALUE(RTD("tt.rtd",,$B11,"Low"))),"")</f>
        <v/>
      </c>
      <c r="G11" s="120">
        <f>IF(OR($C11="",$D11=""),"",($C11+$D11)/2)</f>
        <v/>
      </c>
      <c r="H11" s="120">
        <f>IF(OR($C11="",$D11=""),"",$D11-$C11)</f>
        <v/>
      </c>
      <c r="I11" s="121" t="inlineStr">
        <is>
          <t>Exchange-listed crack spread</t>
        </is>
      </c>
    </row>
    <row r="12"/>
    <row r="13"/>
    <row r="14"/>
    <row r="15" ht="15" customHeight="1" s="65">
      <c r="A15" s="119" t="inlineStr">
        <is>
          <t>DERIVED &amp; LISTED SPREADS (display)</t>
        </is>
      </c>
      <c r="B15" s="79" t="inlineStr">
        <is>
          <t>Basis</t>
        </is>
      </c>
      <c r="C15" s="79" t="inlineStr">
        <is>
          <t>Bid</t>
        </is>
      </c>
      <c r="D15" s="79" t="inlineStr">
        <is>
          <t>Ask</t>
        </is>
      </c>
      <c r="E15" s="79" t="inlineStr">
        <is>
          <t>Mid</t>
        </is>
      </c>
      <c r="F15" s="79" t="inlineStr">
        <is>
          <t>Width</t>
        </is>
      </c>
    </row>
    <row r="16" ht="15" customHeight="1" s="65">
      <c r="A16" s="81" t="inlineStr">
        <is>
          <t>BZ - CL</t>
        </is>
      </c>
      <c r="B16" s="78" t="inlineStr">
        <is>
          <t>legged</t>
        </is>
      </c>
      <c r="C16" s="120">
        <f>IF(OR($C$9="",$D$8=""),"",$C$9-$D$8)</f>
        <v/>
      </c>
      <c r="D16" s="120">
        <f>IF(OR($D$9="",$C$8=""),"",$D$9-$C$8)</f>
        <v/>
      </c>
      <c r="E16" s="120">
        <f>IF(OR($G$9="",$G$8=""),"",$G$9-$G$8)</f>
        <v/>
      </c>
      <c r="F16" s="120">
        <f>IF(OR($C16="",$D16=""),"",$D16-$C16)</f>
        <v/>
      </c>
    </row>
    <row r="17" ht="15" customHeight="1" s="65">
      <c r="A17" s="81" t="inlineStr">
        <is>
          <t>HO/CL crack</t>
        </is>
      </c>
      <c r="B17" s="78" t="inlineStr">
        <is>
          <t>legged</t>
        </is>
      </c>
      <c r="C17" s="120">
        <f>IF(OR($C$7="",$D$8=""),"",$C$7*42-$D$8)</f>
        <v/>
      </c>
      <c r="D17" s="120">
        <f>IF(OR($D$7="",$C$8=""),"",$D$7*42-$C$8)</f>
        <v/>
      </c>
      <c r="E17" s="120">
        <f>IF(OR($G$7="",$G$8=""),"",$G$7*42-$G$8)</f>
        <v/>
      </c>
      <c r="F17" s="120">
        <f>IF(OR($C17="",$D17=""),"",$D17-$C17)</f>
        <v/>
      </c>
    </row>
    <row r="18" ht="15" customHeight="1" s="65">
      <c r="A18" s="81" t="inlineStr">
        <is>
          <t>3:2:1 crack</t>
        </is>
      </c>
      <c r="B18" s="78" t="inlineStr">
        <is>
          <t>legged</t>
        </is>
      </c>
      <c r="C18" s="120">
        <f>IF(OR($C$6="",$C$7="",$D$8=""),"",(($C$6*2*42)+($C$7*1*42)-($D$8*3))/3)</f>
        <v/>
      </c>
      <c r="D18" s="120">
        <f>IF(OR($D$6="",$D$7="",$C$8=""),"",(($D$6*2*42)+($D$7*1*42)-($C$8*3))/3)</f>
        <v/>
      </c>
      <c r="E18" s="120">
        <f>IF(OR($G$6="",$G$7="",$G$8=""),"",(($G$6*2*42)+($G$7*1*42)-($G$8*3))/3)</f>
        <v/>
      </c>
      <c r="F18" s="120">
        <f>IF(OR($C18="",$D18=""),"",$D18-$C18)</f>
        <v/>
      </c>
    </row>
    <row r="19" ht="15" customHeight="1" s="65">
      <c r="A19" s="81" t="inlineStr">
        <is>
          <t>CL Oct26 - BZ Oct26 Inter-Product</t>
        </is>
      </c>
      <c r="B19" s="78" t="inlineStr">
        <is>
          <t>listed</t>
        </is>
      </c>
      <c r="C19" s="120">
        <f>$C$10</f>
        <v/>
      </c>
      <c r="D19" s="120">
        <f>$D$10</f>
        <v/>
      </c>
      <c r="E19" s="120">
        <f>$G$10</f>
        <v/>
      </c>
      <c r="F19" s="120">
        <f>IF(OR($C19="",$D19=""),"",$D19-$C19)</f>
        <v/>
      </c>
    </row>
    <row r="20" ht="15" customHeight="1" s="65">
      <c r="A20" s="81" t="inlineStr">
        <is>
          <t>Oct26 HO-CL Crack</t>
        </is>
      </c>
      <c r="B20" s="78" t="inlineStr">
        <is>
          <t>listed</t>
        </is>
      </c>
      <c r="C20" s="120">
        <f>$C$11</f>
        <v/>
      </c>
      <c r="D20" s="120">
        <f>$D$11</f>
        <v/>
      </c>
      <c r="E20" s="120">
        <f>$G$11</f>
        <v/>
      </c>
      <c r="F20" s="120">
        <f>IF(OR($C20="",$D20=""),"",$D20-$C20)</f>
        <v/>
      </c>
    </row>
    <row r="21"/>
    <row r="22"/>
    <row r="23" ht="15" customHeight="1" s="65">
      <c r="A23" s="122" t="inlineStr">
        <is>
          <t>MONITOR LEGS</t>
        </is>
      </c>
      <c r="B23" s="67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65">
      <c r="A24" s="79" t="inlineStr">
        <is>
          <t>Slot</t>
        </is>
      </c>
      <c r="B24" s="79" t="inlineStr">
        <is>
          <t>Side</t>
        </is>
      </c>
      <c r="C24" s="79" t="inlineStr">
        <is>
          <t>Composition</t>
        </is>
      </c>
      <c r="D24" s="79" t="inlineStr">
        <is>
          <t>Bid</t>
        </is>
      </c>
      <c r="E24" s="79" t="inlineStr">
        <is>
          <t>Ask</t>
        </is>
      </c>
      <c r="F24" s="79" t="inlineStr">
        <is>
          <t>Mid</t>
        </is>
      </c>
    </row>
    <row r="25" ht="15" customHeight="1" s="65">
      <c r="A25" s="89" t="n">
        <v>1</v>
      </c>
      <c r="B25" s="75" t="inlineStr">
        <is>
          <t>LegA</t>
        </is>
      </c>
      <c r="C25" s="77" t="inlineStr">
        <is>
          <t>CLV6</t>
        </is>
      </c>
      <c r="D25" s="120">
        <f>$C$8</f>
        <v/>
      </c>
      <c r="E25" s="120">
        <f>$D$8</f>
        <v/>
      </c>
      <c r="F25" s="120">
        <f>$G$8</f>
        <v/>
      </c>
    </row>
    <row r="26" ht="15" customHeight="1" s="65">
      <c r="A26" s="89" t="n">
        <v>1</v>
      </c>
      <c r="B26" s="75" t="inlineStr">
        <is>
          <t>LegB</t>
        </is>
      </c>
      <c r="C26" s="77" t="inlineStr">
        <is>
          <t>BZV6</t>
        </is>
      </c>
      <c r="D26" s="120">
        <f>$C$9</f>
        <v/>
      </c>
      <c r="E26" s="120">
        <f>$D$9</f>
        <v/>
      </c>
      <c r="F26" s="120">
        <f>$G$9</f>
        <v/>
      </c>
    </row>
    <row r="27" ht="15" customHeight="1" s="65">
      <c r="A27" s="89" t="n">
        <v>2</v>
      </c>
      <c r="B27" s="75" t="inlineStr">
        <is>
          <t>LegA</t>
        </is>
      </c>
      <c r="C27" s="77" t="inlineStr">
        <is>
          <t>CLV6</t>
        </is>
      </c>
      <c r="D27" s="120">
        <f>$C$8</f>
        <v/>
      </c>
      <c r="E27" s="120">
        <f>$D$8</f>
        <v/>
      </c>
      <c r="F27" s="120">
        <f>$G$8</f>
        <v/>
      </c>
    </row>
    <row r="28" ht="15" customHeight="1" s="65">
      <c r="A28" s="89" t="n">
        <v>2</v>
      </c>
      <c r="B28" s="75" t="inlineStr">
        <is>
          <t>LegB</t>
        </is>
      </c>
      <c r="C28" s="77" t="inlineStr">
        <is>
          <t>HOV6 x 42</t>
        </is>
      </c>
      <c r="D28" s="120">
        <f>IF($C$7="","",$C$7*42)</f>
        <v/>
      </c>
      <c r="E28" s="120">
        <f>IF($D$7="","",$D$7*42)</f>
        <v/>
      </c>
      <c r="F28" s="120">
        <f>IF($G$7="","",$G$7*42)</f>
        <v/>
      </c>
    </row>
    <row r="29" ht="15" customHeight="1" s="65">
      <c r="A29" s="89" t="n">
        <v>3</v>
      </c>
      <c r="B29" s="75" t="inlineStr">
        <is>
          <t>LegA</t>
        </is>
      </c>
      <c r="C29" s="77" t="inlineStr">
        <is>
          <t>CLV6</t>
        </is>
      </c>
      <c r="D29" s="120">
        <f>$C$8</f>
        <v/>
      </c>
      <c r="E29" s="120">
        <f>$D$8</f>
        <v/>
      </c>
      <c r="F29" s="120">
        <f>$G$8</f>
        <v/>
      </c>
    </row>
    <row r="30" ht="15" customHeight="1" s="65">
      <c r="A30" s="89" t="n">
        <v>3</v>
      </c>
      <c r="B30" s="75" t="inlineStr">
        <is>
          <t>LegB</t>
        </is>
      </c>
      <c r="C30" s="77" t="inlineStr">
        <is>
          <t>(2 x RBV6 + 1 x HOV6) x 42 / 3</t>
        </is>
      </c>
      <c r="D30" s="120">
        <f>IF(OR($C$6="",$C$7=""),"",($C$6*2*42+$C$7*1*42)/3)</f>
        <v/>
      </c>
      <c r="E30" s="120">
        <f>IF(OR($D$6="",$D$7=""),"",($D$6*2*42+$D$7*1*42)/3)</f>
        <v/>
      </c>
      <c r="F30" s="120">
        <f>IF(OR($G$6="",$G$7=""),"",($G$6*2*42+$G$7*1*42)/3)</f>
        <v/>
      </c>
    </row>
    <row r="31" ht="15" customHeight="1" s="65">
      <c r="A31" s="89" t="n">
        <v>4</v>
      </c>
      <c r="B31" s="75" t="inlineStr">
        <is>
          <t>LegA</t>
        </is>
      </c>
      <c r="C31" s="77" t="inlineStr">
        <is>
          <t>(none - LISTED spread)</t>
        </is>
      </c>
      <c r="D31" s="120" t="inlineStr"/>
      <c r="E31" s="120" t="inlineStr"/>
      <c r="F31" s="120" t="inlineStr"/>
    </row>
    <row r="32" ht="15" customHeight="1" s="65">
      <c r="A32" s="89" t="n">
        <v>4</v>
      </c>
      <c r="B32" s="75" t="inlineStr">
        <is>
          <t>LegB</t>
        </is>
      </c>
      <c r="C32" s="77" t="inlineStr">
        <is>
          <t>CL Oct26 - BZ Oct26 Inter-Product</t>
        </is>
      </c>
      <c r="D32" s="120">
        <f>$C$10</f>
        <v/>
      </c>
      <c r="E32" s="120">
        <f>$D$10</f>
        <v/>
      </c>
      <c r="F32" s="120">
        <f>$G$10</f>
        <v/>
      </c>
    </row>
    <row r="33"/>
    <row r="34" ht="15" customHeight="1" s="65">
      <c r="A34" s="122" t="inlineStr">
        <is>
          <t>LISTED-EQUIVALENT ROW PER SLOT  (for the side-by-side crossing-cost comparison)</t>
        </is>
      </c>
    </row>
    <row r="35" ht="15" customHeight="1" s="65">
      <c r="A35" s="79" t="inlineStr">
        <is>
          <t>Slot</t>
        </is>
      </c>
      <c r="B35" s="79" t="inlineStr">
        <is>
          <t>Feed derived row</t>
        </is>
      </c>
      <c r="C35" s="79" t="inlineStr">
        <is>
          <t>Name</t>
        </is>
      </c>
    </row>
    <row r="36" ht="15" customHeight="1" s="65">
      <c r="A36" s="89" t="n">
        <v>1</v>
      </c>
      <c r="B36" s="89" t="n">
        <v>19</v>
      </c>
      <c r="C36" s="77" t="inlineStr">
        <is>
          <t>CL Oct26 - BZ Oct26 Inter-Product</t>
        </is>
      </c>
    </row>
    <row r="37" ht="15" customHeight="1" s="65">
      <c r="A37" s="89" t="n">
        <v>2</v>
      </c>
      <c r="B37" s="89" t="n">
        <v>20</v>
      </c>
      <c r="C37" s="77" t="inlineStr">
        <is>
          <t>Oct26 HO-CL Crack</t>
        </is>
      </c>
    </row>
    <row r="38" ht="15" customHeight="1" s="65">
      <c r="A38" s="89" t="n">
        <v>3</v>
      </c>
      <c r="B38" s="89" t="n"/>
      <c r="C38" s="77" t="inlineStr">
        <is>
          <t>(none)</t>
        </is>
      </c>
    </row>
    <row r="39" ht="15" customHeight="1" s="65">
      <c r="A39" s="89" t="n">
        <v>4</v>
      </c>
      <c r="B39" s="89" t="n">
        <v>19</v>
      </c>
      <c r="C39" s="77" t="inlineStr">
        <is>
          <t>CL Oct26 - BZ Oct26 Inter-Product</t>
        </is>
      </c>
    </row>
    <row r="40"/>
    <row r="41" ht="15" customHeight="1" s="65">
      <c r="A41" s="67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65">
      <c r="A42" s="67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64" min="1" max="2"/>
    <col width="3" customWidth="1" style="64" min="3" max="3"/>
    <col width="15" customWidth="1" style="64" min="4" max="5"/>
    <col width="3" customWidth="1" style="64" min="6" max="6"/>
    <col width="15" customWidth="1" style="64" min="7" max="8"/>
    <col width="3" customWidth="1" style="64" min="9" max="9"/>
    <col width="15" customWidth="1" style="64" min="10" max="11"/>
    <col width="26" customWidth="1" style="64" min="13" max="13"/>
    <col width="30" customWidth="1" style="64" min="14" max="14"/>
  </cols>
  <sheetData>
    <row r="1" ht="15" customHeight="1" s="65">
      <c r="A1" s="123" t="inlineStr">
        <is>
          <t>BUFFER  -  hidden.  Flushed circular buffers (crash / restart recovery).</t>
        </is>
      </c>
      <c r="M1" s="67" t="inlineStr">
        <is>
          <t>Written by VBA every FLUSH_SEC seconds, so a crash loses at most a minute.</t>
        </is>
      </c>
    </row>
    <row r="2" ht="15" customHeight="1" s="65">
      <c r="M2" s="67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65">
      <c r="A3" s="122" t="inlineStr">
        <is>
          <t>SLOT 1</t>
        </is>
      </c>
      <c r="D3" s="122" t="inlineStr">
        <is>
          <t>SLOT 2</t>
        </is>
      </c>
      <c r="G3" s="122" t="inlineStr">
        <is>
          <t>SLOT 3</t>
        </is>
      </c>
      <c r="J3" s="122" t="inlineStr">
        <is>
          <t>SLOT 4</t>
        </is>
      </c>
      <c r="M3" s="67" t="inlineStr">
        <is>
          <t>Elapsed collection is credited from the OLDEST recovered sample - otherwise every restart costs another two hours before a usable z.</t>
        </is>
      </c>
    </row>
    <row r="4" ht="15" customHeight="1" s="65">
      <c r="A4" s="121" t="inlineStr">
        <is>
          <t>Name</t>
        </is>
      </c>
      <c r="B4" s="120" t="n"/>
      <c r="D4" s="121" t="inlineStr">
        <is>
          <t>Name</t>
        </is>
      </c>
      <c r="E4" s="120" t="n"/>
      <c r="G4" s="121" t="inlineStr">
        <is>
          <t>Name</t>
        </is>
      </c>
      <c r="H4" s="120" t="n"/>
      <c r="J4" s="121" t="inlineStr">
        <is>
          <t>Name</t>
        </is>
      </c>
      <c r="K4" s="120" t="n"/>
      <c r="M4" s="67" t="inlineStr">
        <is>
          <t>Seeding drops CONSECUTIVE identical values only. A spread genuinely revisiting a level is a real observation, not a duplicate.</t>
        </is>
      </c>
    </row>
    <row r="5" ht="15" customHeight="1" s="65">
      <c r="A5" s="121" t="inlineStr">
        <is>
          <t>Legs</t>
        </is>
      </c>
      <c r="B5" s="120" t="n"/>
      <c r="D5" s="121" t="inlineStr">
        <is>
          <t>Legs</t>
        </is>
      </c>
      <c r="E5" s="120" t="n"/>
      <c r="G5" s="121" t="inlineStr">
        <is>
          <t>Legs</t>
        </is>
      </c>
      <c r="H5" s="120" t="n"/>
      <c r="J5" s="121" t="inlineStr">
        <is>
          <t>Legs</t>
        </is>
      </c>
      <c r="K5" s="120" t="n"/>
    </row>
    <row r="6" ht="15" customHeight="1" s="65">
      <c r="A6" s="121" t="inlineStr">
        <is>
          <t>HEDGE_RATIO</t>
        </is>
      </c>
      <c r="B6" s="120" t="n"/>
      <c r="D6" s="121" t="inlineStr">
        <is>
          <t>HEDGE_RATIO</t>
        </is>
      </c>
      <c r="E6" s="120" t="n"/>
      <c r="G6" s="121" t="inlineStr">
        <is>
          <t>HEDGE_RATIO</t>
        </is>
      </c>
      <c r="H6" s="120" t="n"/>
      <c r="J6" s="121" t="inlineStr">
        <is>
          <t>HEDGE_RATIO</t>
        </is>
      </c>
      <c r="K6" s="120" t="n"/>
    </row>
    <row r="7" ht="15" customHeight="1" s="65">
      <c r="A7" s="121" t="inlineStr">
        <is>
          <t>LOOKBACK_MIN</t>
        </is>
      </c>
      <c r="B7" s="120" t="n"/>
      <c r="D7" s="121" t="inlineStr">
        <is>
          <t>LOOKBACK_MIN</t>
        </is>
      </c>
      <c r="E7" s="120" t="n"/>
      <c r="G7" s="121" t="inlineStr">
        <is>
          <t>LOOKBACK_MIN</t>
        </is>
      </c>
      <c r="H7" s="120" t="n"/>
      <c r="J7" s="121" t="inlineStr">
        <is>
          <t>LOOKBACK_MIN</t>
        </is>
      </c>
      <c r="K7" s="120" t="n"/>
    </row>
    <row r="8" ht="15" customHeight="1" s="65">
      <c r="A8" s="121" t="inlineStr">
        <is>
          <t>Count / last flush</t>
        </is>
      </c>
      <c r="B8" s="120" t="n"/>
      <c r="D8" s="121" t="inlineStr">
        <is>
          <t>Count / last flush</t>
        </is>
      </c>
      <c r="E8" s="120" t="n"/>
      <c r="G8" s="121" t="inlineStr">
        <is>
          <t>Count / last flush</t>
        </is>
      </c>
      <c r="H8" s="120" t="n"/>
      <c r="J8" s="121" t="inlineStr">
        <is>
          <t>Count / last flush</t>
        </is>
      </c>
      <c r="K8" s="120" t="n"/>
    </row>
    <row r="9" ht="15" customHeight="1" s="65">
      <c r="A9" s="79" t="inlineStr">
        <is>
          <t>Time (serial)</t>
        </is>
      </c>
      <c r="B9" s="79" t="inlineStr">
        <is>
          <t>Spread value</t>
        </is>
      </c>
      <c r="D9" s="79" t="inlineStr">
        <is>
          <t>Time (serial)</t>
        </is>
      </c>
      <c r="E9" s="79" t="inlineStr">
        <is>
          <t>Spread value</t>
        </is>
      </c>
      <c r="G9" s="79" t="inlineStr">
        <is>
          <t>Time (serial)</t>
        </is>
      </c>
      <c r="H9" s="79" t="inlineStr">
        <is>
          <t>Spread value</t>
        </is>
      </c>
      <c r="J9" s="79" t="inlineStr">
        <is>
          <t>Time (serial)</t>
        </is>
      </c>
      <c r="K9" s="79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64" min="1" max="1"/>
    <col width="30" customWidth="1" style="64" min="2" max="2"/>
    <col width="20" customWidth="1" style="64" min="3" max="3"/>
    <col width="9" customWidth="1" style="64" min="4" max="4"/>
    <col width="12" customWidth="1" style="64" min="5" max="9"/>
    <col width="16" customWidth="1" style="64" min="10" max="10"/>
    <col width="10" customWidth="1" style="64" min="11" max="11"/>
    <col width="60" customWidth="1" style="64" min="12" max="12"/>
  </cols>
  <sheetData>
    <row r="1" ht="15" customHeight="1" s="65">
      <c r="A1" s="123" t="inlineStr">
        <is>
          <t>LOG  -  timestamped signal events</t>
        </is>
      </c>
    </row>
    <row r="2" ht="15" customHeight="1" s="65">
      <c r="A2" s="67" t="inlineStr">
        <is>
          <t>One line when a state STARTS and one when it CLEARS - never one per poll. Reviewable after the session.</t>
        </is>
      </c>
    </row>
    <row r="3" ht="15" customHeight="1" s="65">
      <c r="A3" s="79" t="inlineStr">
        <is>
          <t>Time</t>
        </is>
      </c>
      <c r="B3" s="79" t="inlineStr">
        <is>
          <t>Spread</t>
        </is>
      </c>
      <c r="C3" s="79" t="inlineStr">
        <is>
          <t>Event</t>
        </is>
      </c>
      <c r="D3" s="79" t="inlineStr">
        <is>
          <t>z</t>
        </is>
      </c>
      <c r="E3" s="79" t="inlineStr">
        <is>
          <t>Mean</t>
        </is>
      </c>
      <c r="F3" s="79" t="inlineStr">
        <is>
          <t>Sigma</t>
        </is>
      </c>
      <c r="G3" s="79" t="inlineStr">
        <is>
          <t>Spread</t>
        </is>
      </c>
      <c r="H3" s="79" t="inlineStr">
        <is>
          <t>Bid</t>
        </is>
      </c>
      <c r="I3" s="79" t="inlineStr">
        <is>
          <t>Ask</t>
        </is>
      </c>
      <c r="J3" s="79" t="inlineStr">
        <is>
          <t>Signal</t>
        </is>
      </c>
      <c r="K3" s="79" t="inlineStr">
        <is>
          <t>Edge</t>
        </is>
      </c>
      <c r="L3" s="79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64" min="1" max="1"/>
    <col width="46" customWidth="1" style="64" min="2" max="2"/>
    <col width="16" customWidth="1" style="64" min="3" max="6"/>
    <col width="60" customWidth="1" style="64" min="7" max="7"/>
  </cols>
  <sheetData>
    <row r="1" ht="19.7" customHeight="1" s="65">
      <c r="B1" s="66" t="inlineStr">
        <is>
          <t>SETUP  -  turning this .xlsx into the working .xlsm</t>
        </is>
      </c>
    </row>
    <row r="2"/>
    <row r="3" ht="30" customHeight="1" s="65">
      <c r="B3" s="124" t="inlineStr">
        <is>
          <t>openpyxl cannot author VBA, so this file ships as an .xlsx carrying all structure and formatting, plus a .bas module to import. Six steps, once.</t>
        </is>
      </c>
    </row>
    <row r="4" ht="15" customHeight="1" s="65">
      <c r="B4" s="125" t="inlineStr">
        <is>
          <t>1.  Open TT_ZScore_Monitor.xlsx in Excel on the machine running TT and the TT RTD server.</t>
        </is>
      </c>
    </row>
    <row r="5" ht="15" customHeight="1" s="65">
      <c r="B5" s="125" t="inlineStr">
        <is>
          <t>2.  File &gt; Save As &gt; Excel Macro-Enabled Workbook (.xlsm). Keep the same folder.</t>
        </is>
      </c>
    </row>
    <row r="6" ht="15" customHeight="1" s="65">
      <c r="B6" s="125" t="inlineStr">
        <is>
          <t>3.  Alt+F11 to open the VBA editor.  File &gt; Import File...  and choose TTZMonitor.bas.</t>
        </is>
      </c>
    </row>
    <row r="7" ht="30" customHeight="1" s="65">
      <c r="B7" s="125" t="inlineStr">
        <is>
          <t>4.  In the editor, double-click ThisWorkbook and paste the two-line Workbook_Open / Workbook_BeforeClose stub printed at the bottom of TTZMonitor.bas.  (Optional - it just auto-starts the monitor and warm-starts the buffers.)</t>
        </is>
      </c>
    </row>
    <row r="8" ht="30" customHeight="1" s="65">
      <c r="B8" s="125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65">
      <c r="B9" s="125" t="inlineStr">
        <is>
          <t>6.  Save. Click START. The Feed sheet stays hidden; you never need to look at it.</t>
        </is>
      </c>
    </row>
    <row r="10" ht="30" customHeight="1" s="65">
      <c r="B10" s="124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65">
      <c r="B12" s="80" t="inlineStr">
        <is>
          <t>WHAT TO CHECK ON THE FIRST RUN</t>
        </is>
      </c>
    </row>
    <row r="13" ht="25.5" customHeight="1" s="65">
      <c r="B13" s="126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65">
      <c r="B14" s="126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65">
      <c r="B15" s="126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65">
      <c r="B16" s="126" t="inlineStr">
        <is>
          <t>-  Warm-up takes MIN_HISTORY_MIN (default 120) minutes on a cold start. That is deliberate.</t>
        </is>
      </c>
    </row>
    <row r="17" ht="25.5" customHeight="1" s="65">
      <c r="B17" s="126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65">
      <c r="B18" s="126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65">
      <c r="B20" s="80" t="inlineStr">
        <is>
          <t>WHAT SIGMA THIS SPREAD MUST HAVE TO BE WORTH TRADING</t>
        </is>
      </c>
    </row>
    <row r="21" ht="15" customHeight="1" s="65">
      <c r="B21" s="67" t="inlineStr">
        <is>
          <t>Live off Config. Edit the two assumed market widths below; everything else follows.</t>
        </is>
      </c>
    </row>
    <row r="22" ht="15" customHeight="1" s="65">
      <c r="B22" s="112" t="inlineStr">
        <is>
          <t>Assumed width, each outright leg (spread units)</t>
        </is>
      </c>
      <c r="C22" s="113" t="n">
        <v>0.02</v>
      </c>
      <c r="E22" s="112" t="inlineStr">
        <is>
          <t>Assumed width, listed spread (spread units)</t>
        </is>
      </c>
      <c r="F22" s="113" t="n">
        <v>0.02</v>
      </c>
    </row>
    <row r="23"/>
    <row r="24" ht="22.35" customHeight="1" s="65">
      <c r="B24" s="79" t="inlineStr">
        <is>
          <t>At LOTS from Config, per leg</t>
        </is>
      </c>
      <c r="C24" s="79" t="inlineStr">
        <is>
          <t>Total cost</t>
        </is>
      </c>
      <c r="D24" s="79" t="inlineStr">
        <is>
          <t>min sigma @ z = 3.0</t>
        </is>
      </c>
      <c r="E24" s="79" t="inlineStr">
        <is>
          <t>min sigma @ z = 2.5</t>
        </is>
      </c>
      <c r="F24" s="79" t="inlineStr">
        <is>
          <t>min sigma @ live ENTRY_Z</t>
        </is>
      </c>
    </row>
    <row r="25" ht="15" customHeight="1" s="65">
      <c r="B25" s="71" t="inlineStr">
        <is>
          <t>Legging the outrights</t>
        </is>
      </c>
      <c r="C25" s="127">
        <f>2*Config!$B$69*Config!$B$40+(2*$C$22)*1000*Config!$B$40</f>
        <v/>
      </c>
      <c r="D25" s="128">
        <f>Config!$B$42*$C$25/(0.5*3*1000*Config!$B$40)</f>
        <v/>
      </c>
      <c r="E25" s="128">
        <f>Config!$B$42*$C$25/(0.5*2.5*1000*Config!$B$40)</f>
        <v/>
      </c>
      <c r="F25" s="128">
        <f>Config!$B$42*$C$25/(0.5*Config!$B$34*1000*Config!$B$40)</f>
        <v/>
      </c>
    </row>
    <row r="26" ht="15" customHeight="1" s="65">
      <c r="B26" s="71" t="inlineStr">
        <is>
          <t>Listed inter-product spread</t>
        </is>
      </c>
      <c r="C26" s="127">
        <f>2*Config!$B$69*Config!$B$40+$F$22*1000*Config!$B$40</f>
        <v/>
      </c>
      <c r="D26" s="128">
        <f>Config!$B$42*$C$26/(0.5*3*1000*Config!$B$40)</f>
        <v/>
      </c>
      <c r="E26" s="128">
        <f>Config!$B$42*$C$26/(0.5*2.5*1000*Config!$B$40)</f>
        <v/>
      </c>
      <c r="F26" s="128">
        <f>Config!$B$42*$C$26/(0.5*Config!$B$34*1000*Config!$B$40)</f>
        <v/>
      </c>
    </row>
    <row r="27"/>
    <row r="28" ht="15" customHeight="1" s="65">
      <c r="B28" s="67" t="inlineStr">
        <is>
          <t>capture = 0.5 x |z| x sigma x USD-per-point x LOTS.  An entry passes when capture &gt;= EDGE_MULTIPLE x total cost.</t>
        </is>
      </c>
    </row>
    <row r="29" ht="15" customHeight="1" s="65">
      <c r="B29" s="116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65">
      <c r="B31" s="80" t="inlineStr">
        <is>
          <t>ASSUMPTIONS MADE WHILE BUILDING THIS - CHECK THEM</t>
        </is>
      </c>
    </row>
    <row r="32" ht="39.75" customHeight="1" s="65">
      <c r="B32" s="126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65">
      <c r="B33" s="126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65">
      <c r="B34" s="126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65">
      <c r="B35" s="126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65">
      <c r="B36" s="126" t="inlineStr">
        <is>
          <t>-  Slot 3 (3:2:1) has no exchange-listed equivalent, so its LISTED crossing-cost column reads n/a.</t>
        </is>
      </c>
    </row>
    <row r="37" ht="39.75" customHeight="1" s="65">
      <c r="B37" s="126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65">
      <c r="B38" s="126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65">
      <c r="B39" s="126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2026-08-23T07:55:15Z</dcterms:created>
  <dcterms:modified xsi:type="dcterms:W3CDTF">2026-08-23T07:55:28Z</dcterms:modified>
  <cp:revision>0</cp:revision>
</cp:coreProperties>
</file>